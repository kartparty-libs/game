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3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sz val="9"/>
            <rFont val="宋体"/>
            <charset val="134"/>
          </rPr>
          <t>任务类型
1：每日任务
2：基本任务（一次性任务）
3：平台订阅任务（一次性任务）
4：高级会员任务（一次性任务）
5：成就登录钱包（一次性任务）
6：成就累计充值（一次性任务）
7：成就累计邀请（一次性任务）
8：成就累计高级邀请（一次性任务）
9：赛道任务
10:空投任务
11：转盘7日任务（一次性任务）
14:换量任务</t>
        </r>
      </text>
    </comment>
    <comment ref="E3" authorId="0">
      <text>
        <r>
          <rPr>
            <sz val="9"/>
            <rFont val="宋体"/>
            <charset val="134"/>
          </rPr>
          <t>任务类型
1：每日任务
2：一次性任务</t>
        </r>
      </text>
    </comment>
    <comment ref="F3" authorId="0">
      <text>
        <r>
          <rPr>
            <sz val="9"/>
            <rFont val="宋体"/>
            <charset val="134"/>
          </rPr>
          <t xml:space="preserve">任务事件
1：参与比赛 -&gt; 条件参数() -&gt; 任务值(完成比赛次数)不论匹配单机
2：夺冠次数 -&gt; 条件参数() -&gt; 任务值(获得冠军次数)
3：在线时常 -&gt; 条件参数() -&gt; 任务值(在线时常/分钟)
4：累计登入 -&gt; 条件参数() -&gt; 任务值(累计登陆天数)
5：累计分享 -&gt; 条件参数(邀请栏idx) -&gt; 任务值(邀请人数)
6：体验赛场 -&gt; 条件参数(0：体验指定地图Id) -&gt; 任务值(体验次数)
7：完成指定类型任务 -&gt; 条件参数(任务类型) -&gt; 任务值(完成指定类型任务次数
8：完成指定事件任务 -&gt; 条件参数(任务事件) -&gt; 任务值(完成指定事件任务次数)
101：登录钱包 -&gt; 条件参数() -&gt; 任务值(登录次数)
102：登录游戏 -&gt; 条件参数() -&gt; 任务值(登录次数)
103：购买任意商城礼包 -&gt; 条件参数() -&gt; 任务值(购买次数) 
104：分享 -&gt; 条件参数() -&gt; 任务值(分享次数)
105：访问XX平台kart party频道 -&gt; 条件参数() -&gt; 任务值(访问次数)
106：参与宝箱玩法 -&gt; 条件参数() -&gt; 任务值(开幸运宝箱次数)
107：关注ceo 参数链接
108：关注kp 参数链接
109：加入游戏群 -&gt; 条件参数() -&gt; 任务值(次数)
110：成为XX平台会员 -&gt; 条件参数() -&gt; 任务值(次数)
111：累计登录钱包 -&gt; 条件参数() -&gt; 任务值(累计登陆天数)
112：累计充值金额 -&gt; 条件参数() -&gt; 任务值(累计充值金额)
113：累计邀请人数 -&gt; 条件参数() -&gt; 任务值(累计邀请人数)
114：累计邀请高级会员人数 -&gt; 条件参数() -&gt; 任务值(累计邀请高级会员人数)
115:升级卡丁车一次
116：获得宝箱奖励
117：点赞官推帖子
118：访问链接 参数链接
119：访问DC频道并关注   参数 链接
120：获得质押奖励
121：okx钱包登录检查
122：n地图第1名 -&gt; 条件参数(0：地图id) -&gt; 任务值(达成次数)单机玩法
123：参与匹配玩法 参数次数
124：车辆达到品质 -&gt; 条件参数(0：品质值) -&gt; 任务值(累计邀请人数)
125：升级任意卡丁车部件
201：转盘七日任务 消耗金币 -&gt; 条件参数(0：转盘七日登入天数) -&gt; 任务值(消耗金币数量)
202：转盘七日任务 参加质押 -&gt; 条件参数(0：转盘七日登入天数) -&gt; 任务值()
203：转盘七日任务 参加幸运宝箱 -&gt; 条件参数(0：转盘七日登入天数) -&gt; 任务值()
204：转盘七日任务 消耗钻石 -&gt; 条件参数(0：转盘七日登入天数) -&gt; 任务值(消耗钻石数量)
205：转盘七日任务 消耗体力 -&gt; 条件参数(0：转盘七日登入天数) -&gt; 任务值(消耗体力数量)
206：转盘七日任务 车辆升级至x级 -&gt; 条件参数(0：转盘七日登入天数) -&gt; 任务值(车辆等级)
207：转盘七日任务 参加车辆质押 -&gt; 条件参数(0：转盘七日登入天数) -&gt; 任务值()
208：转盘七日任务 每日签到 -&gt; 条件参数(0：转盘七日是否开启) -&gt; 任务值()
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1、比赛跳转
2、按钮加光效
3、跳转宝箱
4、跳转合约
5、商店界面
6、okx钱包
7、follow x
8、follow ceo
9、邀请
10、任务界面
11、pvp界面
12、车库界面</t>
        </r>
      </text>
    </comment>
    <comment ref="J3" authorId="0">
      <text>
        <r>
          <rPr>
            <sz val="9"/>
            <rFont val="宋体"/>
            <charset val="134"/>
          </rPr>
          <t xml:space="preserve">条件符合判定
0：等于条件值
1：小于条件值
2：小于等于条件值
3：大于条件值
4：大于等于条件值
</t>
        </r>
      </text>
    </comment>
    <comment ref="N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图标显示
0-4
越大越好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1、金币
2、钻石
3、token积分
4、礼包
5、随机礼包
6、转盘次数
</t>
        </r>
      </text>
    </comment>
    <comment ref="S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1-3
蓝、黄、红</t>
        </r>
      </text>
    </comment>
  </commentList>
</comments>
</file>

<file path=xl/sharedStrings.xml><?xml version="1.0" encoding="utf-8"?>
<sst xmlns="http://schemas.openxmlformats.org/spreadsheetml/2006/main" count="1380" uniqueCount="435">
  <si>
    <t>#猴子</t>
  </si>
  <si>
    <t>#define</t>
  </si>
  <si>
    <t>cs</t>
  </si>
  <si>
    <t>s</t>
  </si>
  <si>
    <t>c</t>
  </si>
  <si>
    <t>#name</t>
  </si>
  <si>
    <t>Id</t>
  </si>
  <si>
    <t>TitleType</t>
  </si>
  <si>
    <t>TaskType</t>
  </si>
  <si>
    <t>TaskEvent</t>
  </si>
  <si>
    <t>SeasonClear</t>
  </si>
  <si>
    <t>JumpUI</t>
  </si>
  <si>
    <t>TaskConditionParams</t>
  </si>
  <si>
    <t>TaskConditionTypes</t>
  </si>
  <si>
    <t>TaskValueParam</t>
  </si>
  <si>
    <t>Day</t>
  </si>
  <si>
    <t>TaskScoreAward</t>
  </si>
  <si>
    <t>IconType</t>
  </si>
  <si>
    <t>TaskAward</t>
  </si>
  <si>
    <t>TaskTreasureChestAward</t>
  </si>
  <si>
    <t>TaskDesc</t>
  </si>
  <si>
    <t>Title</t>
  </si>
  <si>
    <t>Quality</t>
  </si>
  <si>
    <t>Icon</t>
  </si>
  <si>
    <t>Url</t>
  </si>
  <si>
    <t>#type</t>
  </si>
  <si>
    <t>index#int</t>
  </si>
  <si>
    <t>int</t>
  </si>
  <si>
    <t>int[]</t>
  </si>
  <si>
    <t>string</t>
  </si>
  <si>
    <t>#备注</t>
  </si>
  <si>
    <t>备注</t>
  </si>
  <si>
    <t>任务类型</t>
  </si>
  <si>
    <t>任务事件</t>
  </si>
  <si>
    <t>赛季清理</t>
  </si>
  <si>
    <t>跳转界面</t>
  </si>
  <si>
    <t>任务条件参数数组</t>
  </si>
  <si>
    <t>任务条件判定类型</t>
  </si>
  <si>
    <t>天数</t>
  </si>
  <si>
    <t>任务奖励</t>
  </si>
  <si>
    <t>品质</t>
  </si>
  <si>
    <t>图标地址</t>
  </si>
  <si>
    <t>跳转地址</t>
  </si>
  <si>
    <t>登录kartparty</t>
  </si>
  <si>
    <t>{}</t>
  </si>
  <si>
    <t>Login to kartparty</t>
  </si>
  <si>
    <t>Assets/Res/Sprites/Items/icon_renwu_denglu.png</t>
  </si>
  <si>
    <t>购买任意礼包</t>
  </si>
  <si>
    <t>Daily purchase</t>
  </si>
  <si>
    <t>Assets/Res/Sprites/Items/icon_renwu_libao.png</t>
  </si>
  <si>
    <t>#</t>
  </si>
  <si>
    <t>每日邀请</t>
  </si>
  <si>
    <r>
      <rPr>
        <sz val="10.5"/>
        <color theme="1"/>
        <rFont val="Calibri"/>
        <charset val="134"/>
      </rPr>
      <t>D</t>
    </r>
    <r>
      <rPr>
        <sz val="10.5"/>
        <color theme="1"/>
        <rFont val="Calibri"/>
        <charset val="134"/>
      </rPr>
      <t>aily invite</t>
    </r>
  </si>
  <si>
    <t>Assets/Res/Sprites/Items/icon_renwu_yaoqing.png</t>
  </si>
  <si>
    <r>
      <rPr>
        <sz val="10.5"/>
        <color theme="1"/>
        <rFont val="宋体"/>
        <charset val="134"/>
      </rPr>
      <t>完成</t>
    </r>
    <r>
      <rPr>
        <sz val="10.5"/>
        <color theme="1"/>
        <rFont val="Calibri"/>
        <charset val="134"/>
      </rPr>
      <t>5</t>
    </r>
    <r>
      <rPr>
        <sz val="10.5"/>
        <color theme="1"/>
        <rFont val="宋体"/>
        <charset val="134"/>
      </rPr>
      <t>次比赛</t>
    </r>
  </si>
  <si>
    <t>Complete 5 matches         ({0})</t>
  </si>
  <si>
    <t>Assets/Res/Sprites/Items/icon_renwu_wanchengbisai.png</t>
  </si>
  <si>
    <t>获得宝箱奖励</t>
  </si>
  <si>
    <t>Earn chest rewards</t>
  </si>
  <si>
    <t>Assets/Res/Sprites/Items/icon_renwu_baoxiang.png</t>
  </si>
  <si>
    <t>升级任意卡丁车部件</t>
  </si>
  <si>
    <t>Upgrade Any Kart Part</t>
  </si>
  <si>
    <t>Assets/Res/Sprites/Items/icon_renwu_saicheshengji.png</t>
  </si>
  <si>
    <t>参与匹配玩法</t>
  </si>
  <si>
    <t>Complete 1 Matching Mode</t>
  </si>
  <si>
    <t>Assets/Res/Sprites/Items/icon_renwu_pipei.png</t>
  </si>
  <si>
    <r>
      <rPr>
        <sz val="10.5"/>
        <color theme="1"/>
        <rFont val="Calibri"/>
        <charset val="134"/>
      </rPr>
      <t>Follow on twitter(X)</t>
    </r>
    <r>
      <rPr>
        <sz val="10.5"/>
        <color theme="1"/>
        <rFont val="宋体"/>
        <charset val="134"/>
      </rPr>
      <t>（关注</t>
    </r>
    <r>
      <rPr>
        <sz val="10.5"/>
        <color theme="1"/>
        <rFont val="Calibri"/>
        <charset val="134"/>
      </rPr>
      <t>kp</t>
    </r>
    <r>
      <rPr>
        <sz val="10.5"/>
        <color theme="1"/>
        <rFont val="宋体"/>
        <charset val="134"/>
      </rPr>
      <t>官推）</t>
    </r>
  </si>
  <si>
    <t>Follow on twitter(X)</t>
  </si>
  <si>
    <t>Assets/Res/Sprites/Items/icon_renwu_x.png</t>
  </si>
  <si>
    <t>https://x.com/KaKarbom</t>
  </si>
  <si>
    <r>
      <rPr>
        <sz val="10.5"/>
        <color theme="1"/>
        <rFont val="宋体"/>
        <charset val="134"/>
      </rPr>
      <t>关注</t>
    </r>
    <r>
      <rPr>
        <sz val="10.5"/>
        <color theme="1"/>
        <rFont val="Calibri"/>
        <charset val="134"/>
      </rPr>
      <t>ceo</t>
    </r>
    <r>
      <rPr>
        <sz val="10.5"/>
        <color theme="1"/>
        <rFont val="宋体"/>
        <charset val="134"/>
      </rPr>
      <t>（</t>
    </r>
    <r>
      <rPr>
        <sz val="10.5"/>
        <color theme="1"/>
        <rFont val="Calibri"/>
        <charset val="134"/>
      </rPr>
      <t>warren</t>
    </r>
    <r>
      <rPr>
        <sz val="10.5"/>
        <color theme="1"/>
        <rFont val="宋体"/>
        <charset val="134"/>
      </rPr>
      <t>的推特）</t>
    </r>
  </si>
  <si>
    <t>Follow @ ceo(X)</t>
  </si>
  <si>
    <t>https://x.com/Warren0gamer</t>
  </si>
  <si>
    <t>参与匹配玩法10</t>
  </si>
  <si>
    <t>Complete 10 Matching Mode ({0})</t>
  </si>
  <si>
    <t>OKX Wallet Check in</t>
  </si>
  <si>
    <t>Assets/Res/Sprites/Items/icon_renwu_OKX.png</t>
  </si>
  <si>
    <t>加入寿司玩法</t>
  </si>
  <si>
    <t>Play Tonshi</t>
  </si>
  <si>
    <t>Assets/Res/Sprites/Items/icon_renwu_shousi.png</t>
  </si>
  <si>
    <t>https://t.me/OfficialTonshi_bot</t>
  </si>
  <si>
    <t>玩outa</t>
  </si>
  <si>
    <t>Play OUTA Game</t>
  </si>
  <si>
    <t>Assets/Res/Sprites/Items/icon_renwu_auto.png</t>
  </si>
  <si>
    <t>https://t.me/OUTAxyz_Bot</t>
  </si>
  <si>
    <t>加入outa channel</t>
  </si>
  <si>
    <t>Follow OUTA Channel</t>
  </si>
  <si>
    <t>https://t.me/outa_announcement</t>
  </si>
  <si>
    <t>Start Bitbot</t>
  </si>
  <si>
    <t>Play BitBot Game</t>
  </si>
  <si>
    <t>Assets/Res/Sprites/Items/icon_renwu_Bitbot.png</t>
  </si>
  <si>
    <t>https://t.me/Hello_Bitbot/bitbot?startapp=utm_S2FydHBhcnR5ZEdWa1gx</t>
  </si>
  <si>
    <t>UQUID</t>
  </si>
  <si>
    <t>Join Uquid Chat</t>
  </si>
  <si>
    <t>Assets/Res/Sprites/Items/icon_renwu_UQUID.png</t>
  </si>
  <si>
    <t>https://t.me/uquidcoinofficial</t>
  </si>
  <si>
    <t>Follow Uquid X</t>
  </si>
  <si>
    <t>https://x.com/uquidcard</t>
  </si>
  <si>
    <t>HUANGARX BOT</t>
  </si>
  <si>
    <t>Join HangarX Channel</t>
  </si>
  <si>
    <t>Assets/Res/Sprites/Items/icon_renwu_HUANGARX.png</t>
  </si>
  <si>
    <t>https://t.me/hangarxgam</t>
  </si>
  <si>
    <t>加入HUANGARX channel</t>
  </si>
  <si>
    <t>Follow HangarX X</t>
  </si>
  <si>
    <t>https://x.com/Hangarxio</t>
  </si>
  <si>
    <t>Play BAYCMINER!</t>
  </si>
  <si>
    <t>Play BAYCMiner Game</t>
  </si>
  <si>
    <t>Assets/Res/Sprites/Items/icon_renwu_BAYCMINER.png</t>
  </si>
  <si>
    <t>https://t.me/BtokMinerBot?profile</t>
  </si>
  <si>
    <t>Join BAYCMINER channel</t>
  </si>
  <si>
    <t>Follow BAYCMiner Channel</t>
  </si>
  <si>
    <t>https://t.me/baycminerchannel</t>
  </si>
  <si>
    <t>UTXORD</t>
  </si>
  <si>
    <t>Follow UTXORD Channel</t>
  </si>
  <si>
    <t>Assets/Res/Sprites/Items/icon_renwu_UTXORD.png</t>
  </si>
  <si>
    <t>https://t.me/UTXORDChannelIsBithoven</t>
  </si>
  <si>
    <t>Join Clockie Chaos bot</t>
  </si>
  <si>
    <t>Play Clockie Chaos Game</t>
  </si>
  <si>
    <t>Assets/Res/Sprites/Items/icon_renwu_Clockie.png</t>
  </si>
  <si>
    <t>https://t.me/ClockieChaosBot</t>
  </si>
  <si>
    <t>Join Clockie Chaos Community</t>
  </si>
  <si>
    <t>Follow Clockie Chaos Channel</t>
  </si>
  <si>
    <t>https://t.me/+EVkTJkd1csllNjRh</t>
  </si>
  <si>
    <t>Join popp channel</t>
  </si>
  <si>
    <t>Join PoPP Chat</t>
  </si>
  <si>
    <t>Assets/Res/Sprites/Items/icon_renwu_popp.png</t>
  </si>
  <si>
    <t>https://t.me/PoPPOfficialGroup</t>
  </si>
  <si>
    <t>Follow popp X</t>
  </si>
  <si>
    <t>Follow PoPP X</t>
  </si>
  <si>
    <t>https://x.com/Hi_PoPPOfficial</t>
  </si>
  <si>
    <t>Join Ton Pepe bot</t>
  </si>
  <si>
    <t>Play PEPES Game</t>
  </si>
  <si>
    <t>Assets/Res/Sprites/Items/icon_renwu_Pepe.png</t>
  </si>
  <si>
    <t>https://t.me/TONPEPES_BOT/PEPES?startapp=1978888931</t>
  </si>
  <si>
    <t>Join Habit TG</t>
  </si>
  <si>
    <t>Play Habit Game</t>
  </si>
  <si>
    <t>Assets/Res/Sprites/Items/icon_renwu_Habit.png</t>
  </si>
  <si>
    <t>https://t.me/HabitNetwork_bot/HABIT?startapp=ref_5723375640</t>
  </si>
  <si>
    <t>Join Habit Network</t>
  </si>
  <si>
    <t>Follow Habi Channel</t>
  </si>
  <si>
    <t>https://t.me/+djeLT3auyg1mMmI1</t>
  </si>
  <si>
    <t>Join Cat Planets bot</t>
  </si>
  <si>
    <t>Play Cat Planets Game</t>
  </si>
  <si>
    <t>Assets/Res/Sprites/Items/icon_renwu_Cat.png</t>
  </si>
  <si>
    <t>https://t.me/CatPlanetsBot/play?startapp=2ilquu6</t>
  </si>
  <si>
    <t>Join Cat Planets TG</t>
  </si>
  <si>
    <t>Follow Cat Planets Channel</t>
  </si>
  <si>
    <t>https://t.me/catplanetsann</t>
  </si>
  <si>
    <t>Join TON Flash bot</t>
  </si>
  <si>
    <t>Play TON Flash Game</t>
  </si>
  <si>
    <t>Assets/Res/Sprites/Items/icon_renwu_Flash.png</t>
  </si>
  <si>
    <t>https://t.me/tonflash_mine_bot/app?startapp=IvEtMsof</t>
  </si>
  <si>
    <t>Play FROGS game</t>
  </si>
  <si>
    <t>Play Frogs Game</t>
  </si>
  <si>
    <t>Assets/Res/Sprites/Items/icon_renwu_FROGS.png</t>
  </si>
  <si>
    <t>https://t.me/realFrogs_bot</t>
  </si>
  <si>
    <t>Follow FROGS</t>
  </si>
  <si>
    <t>Follow Frogs X</t>
  </si>
  <si>
    <t>https://x.com/realFrogsClub</t>
  </si>
  <si>
    <t>Join GrandJourney DApp</t>
  </si>
  <si>
    <t>Play Grand Journey Game</t>
  </si>
  <si>
    <t>Assets/Res/Sprites/Items/icon_renwu_dApp.png</t>
  </si>
  <si>
    <t>https://t.me/grandjourneybot/airdrop?startapp=ref_iEYMNz</t>
  </si>
  <si>
    <t>Follow GrandJourney Channel</t>
  </si>
  <si>
    <t>Follow Grand Journey Channel</t>
  </si>
  <si>
    <t>https://t.me/Channel_GrandJourney</t>
  </si>
  <si>
    <t>Play Tonve</t>
  </si>
  <si>
    <t>Follow Tonve Channel</t>
  </si>
  <si>
    <t>Assets/Res/Sprites/Items/icon_renwu_Tonve.png</t>
  </si>
  <si>
    <t>https://t.me/Tonvex_Channelvex?startapp=38</t>
  </si>
  <si>
    <t>join move bot</t>
  </si>
  <si>
    <t>Play Move Game</t>
  </si>
  <si>
    <t>Assets/Res/Sprites/Items/icon_renwu_MOVE.png</t>
  </si>
  <si>
    <t>https://t.me/MoveOnTonBot/Move?startapp=refOmXMw69XK6YRFJRUslOR</t>
  </si>
  <si>
    <t>join move channel</t>
  </si>
  <si>
    <t>Follow Move Channel</t>
  </si>
  <si>
    <t>https://t.me/moveonton</t>
  </si>
  <si>
    <t>Join WheelofFate bot</t>
  </si>
  <si>
    <t>Play Wheel of Fate Game</t>
  </si>
  <si>
    <t>Assets/Res/Sprites/Items/icon_renwu_WheelofFate.png</t>
  </si>
  <si>
    <t>https://t.me/WheelofFateOfficial_Bot/WheelofFate?</t>
  </si>
  <si>
    <t>Join WheelofFate Group</t>
  </si>
  <si>
    <t>Join Wheel of Fate Chat</t>
  </si>
  <si>
    <t>https://t.me/WheelofFate_official</t>
  </si>
  <si>
    <t>Join Bahne AI Bot</t>
  </si>
  <si>
    <t>Play  Bahne AI Game</t>
  </si>
  <si>
    <t>Assets/Res/Sprites/Items/icon_renwu_BahneAI.png</t>
  </si>
  <si>
    <t>https://t.me/bahneaibot/bahneai?startapp=5446349397</t>
  </si>
  <si>
    <t>Play Snap Fly Game</t>
  </si>
  <si>
    <t>Assets/Res/Sprites/Items/icon_renwu_Snap.png</t>
  </si>
  <si>
    <t>https://t.me/snapfly_game_bot/app?startapp=gMMiesM2Dz</t>
  </si>
  <si>
    <t>Join Snap Fly Channel</t>
  </si>
  <si>
    <t>Follow Snap Fly Channel</t>
  </si>
  <si>
    <t>https://t.me/SnapFly_updates</t>
  </si>
  <si>
    <t>Play HybridMini Game</t>
  </si>
  <si>
    <t>Assets/Res/Sprites/Items/icon_renwu_HybridMini.png</t>
  </si>
  <si>
    <t>https://t.me/HybridMiniAppBot/HybridMiniApp?startapp=1731971346</t>
  </si>
  <si>
    <t>Play Cat vs Monster Game</t>
  </si>
  <si>
    <t>Assets/Res/Sprites/Items/icon_renwu_CatvsMonster.png</t>
  </si>
  <si>
    <t>https://t.me/cat_vs_monsters_bot?start=1367612412</t>
  </si>
  <si>
    <t>Follow Joker Channel</t>
  </si>
  <si>
    <t>Assets/Res/Sprites/Items/icon_renwu_Joker.png</t>
  </si>
  <si>
    <t>https://t.me/neobot_joker</t>
  </si>
  <si>
    <t>Play Awaken Game</t>
  </si>
  <si>
    <t>Assets/Res/Sprites/Items/icon_renwu_Awaken.png</t>
  </si>
  <si>
    <t>https://t.me/AwakenCitizenBot/awaken?startapp=ref_5198403648</t>
  </si>
  <si>
    <t>Follow Awaken Channel</t>
  </si>
  <si>
    <t>https://t.me/awaken_ann</t>
  </si>
  <si>
    <t>Follow Awaken X</t>
  </si>
  <si>
    <t>https://x.com/PlayAwakenHQ</t>
  </si>
  <si>
    <t>Play Openpad Game</t>
  </si>
  <si>
    <t>Assets/Res/Sprites/Items/icon_renwu_openpad.png</t>
  </si>
  <si>
    <t>https://t.me/openpadbot</t>
  </si>
  <si>
    <t>Play TON Garden</t>
  </si>
  <si>
    <t>Play TON Garden Game</t>
  </si>
  <si>
    <t>Assets/Res/Sprites/Items/icon_renwu_TonGardenFarming.png</t>
  </si>
  <si>
    <t>https://t.me/TonGardenFarmingBot?start=1cccea0f1</t>
  </si>
  <si>
    <t>Follow TON Garden channel</t>
  </si>
  <si>
    <t>https://t.me/tongardenofficial</t>
  </si>
  <si>
    <t>Play TonPirateKings Game</t>
  </si>
  <si>
    <t>Assets/Res/Sprites/Items/icon_renwu_TonPirateKings.png</t>
  </si>
  <si>
    <t>https://t.me/TONPirateKings_bot</t>
  </si>
  <si>
    <t>Play ISPYN Xboard Game</t>
  </si>
  <si>
    <t>Assets/Res/Sprites/Items/icon_renwu_ispynxboard.png</t>
  </si>
  <si>
    <t>https://t.me/ispyn_xboard_bot/start?startapp=5446349397P3QDZB</t>
  </si>
  <si>
    <t>Play SEI Spin Game</t>
  </si>
  <si>
    <t>Assets/Res/Sprites/Items/icon_renwu_SEISpin.png</t>
  </si>
  <si>
    <t>https://t.me/SEISpin_app_bot?start=d518e7625c8</t>
  </si>
  <si>
    <t>Follow SEI Spin Channel</t>
  </si>
  <si>
    <t>https://t.me/seispin_updates</t>
  </si>
  <si>
    <t>Play Titan Game</t>
  </si>
  <si>
    <t>Assets/Res/Sprites/Items/icon_renwu_titan.png</t>
  </si>
  <si>
    <t>https://t.me/Titan_tgame_bot</t>
  </si>
  <si>
    <t>Join Titan Chat</t>
  </si>
  <si>
    <t>https://t.me/Titan_Tgame_Community</t>
  </si>
  <si>
    <t>Play Alfa Game</t>
  </si>
  <si>
    <t>Assets/Res/Sprites/Items/icon_renwu_alfapet.png</t>
  </si>
  <si>
    <t>https://t.me/alfa_pet_bot?start=213822023</t>
  </si>
  <si>
    <t>Play Ninja Squad Game</t>
  </si>
  <si>
    <t>Assets/Res/Sprites/Items/icon_renwu_ninjasquadgame.png</t>
  </si>
  <si>
    <t>https://t.me/ninjasquad_bot</t>
  </si>
  <si>
    <t>Play Taponbase Game</t>
  </si>
  <si>
    <t>Assets/Res/Sprites/Items/icon_renwu_Taponbase.png</t>
  </si>
  <si>
    <t>https://t.me/taponbase_bot</t>
  </si>
  <si>
    <t>Play Qappi Miner</t>
  </si>
  <si>
    <t>Assets/Res/Sprites/Items/icon_renwu_Qappi.png</t>
  </si>
  <si>
    <t>https://t.me/QappiMinerBot?start=5446349397</t>
  </si>
  <si>
    <t>Play NotMushCoin Game</t>
  </si>
  <si>
    <t>{2,35}</t>
  </si>
  <si>
    <t>Assets/Res/Sprites/Items/icon_renwu_NotMushCoin.png</t>
  </si>
  <si>
    <t>https://t.me/NotMushCoin_bot/play?startapp=m_5767015060</t>
  </si>
  <si>
    <t>Play BeeVerse Game</t>
  </si>
  <si>
    <t>Assets/Res/Sprites/Items/icon_renwu_BeeVerse.png</t>
  </si>
  <si>
    <t>https://t.me/bee_verse_bot?start=5446349397</t>
  </si>
  <si>
    <t>Play Musgard Game</t>
  </si>
  <si>
    <t>Assets/Res/Sprites/Items/icon_renwu_musgard.png</t>
  </si>
  <si>
    <t>https://t.me/musgard_bot?startapp=1731971346</t>
  </si>
  <si>
    <t>Play Gshake Game</t>
  </si>
  <si>
    <t>Assets/Res/Sprites/Items/icon_renwu_gshake.png</t>
  </si>
  <si>
    <t>https://t.me/gshake_bot/game?startapp=5sY34nd3XS</t>
  </si>
  <si>
    <t>Play BlessedI D Game</t>
  </si>
  <si>
    <t>Assets/Res/Sprites/Items/icon_renwu_BlessedID.png</t>
  </si>
  <si>
    <t>https://t.me/BlessedID_bot?startapp=kartparty</t>
  </si>
  <si>
    <t>Play Ackinacki Game</t>
  </si>
  <si>
    <t>Assets/Res/Sprites/Items/icon_renwu_ackinacki.png</t>
  </si>
  <si>
    <t>https://t.me/ackinacki_bot/ackinacki_app?startapp=eyJyZWZlcnJlciI6IndoMXRlN2V0aCJ9</t>
  </si>
  <si>
    <t>Play Retro_Bit Game</t>
  </si>
  <si>
    <t>Assets/Res/Sprites/Items/icon_renwu_RetroBit.png</t>
  </si>
  <si>
    <t>https://t.me/Retro_Bit_bot/app?startapp=7163301039</t>
  </si>
  <si>
    <t>Play Fandom_mquest Game</t>
  </si>
  <si>
    <t>Assets/Res/Sprites/Items/icon_renwu_fandom_mquest.png</t>
  </si>
  <si>
    <t>https://t.me/fandom_mquest_bot</t>
  </si>
  <si>
    <t>Play Tokyo Beast Love Drop Game</t>
  </si>
  <si>
    <t>Assets/Res/Sprites/Items/icon_renwu_TokyoBeastLoveDrop.png</t>
  </si>
  <si>
    <t>https://t.me/tokyobeast_lovedrop_bot/lovedrop?startapp=425FO23KHS</t>
  </si>
  <si>
    <t>Play Mimiland Game</t>
  </si>
  <si>
    <t>Assets/Res/Sprites/Items/icon_renwu_Mimiland.png</t>
  </si>
  <si>
    <t>https://t.me/Mimiland_appbot/app?startapp=ref_eyJwIjoiIiwiZiI6InJlZiIsInIiOiI1NDQ2MzQ5Mzk3IiwibSI6IjY3M2M1M2FhMThjMmEzNDZjZDcxMmYzZiJ9</t>
  </si>
  <si>
    <t>Play Ocean Kombat Game</t>
  </si>
  <si>
    <t>Assets/Res/Sprites/Items/icon_renwu_Ocean_kombat.png</t>
  </si>
  <si>
    <t>https://t.me/ocean_kombat_bot/app?startapp=d306c2a8-e9e0-4357-a147-d604ba427cda</t>
  </si>
  <si>
    <t>Follow Ocean Kombat Channel</t>
  </si>
  <si>
    <t>https://t.me/OceanKombat</t>
  </si>
  <si>
    <t>Follow Ocean Kombat X</t>
  </si>
  <si>
    <t>https://x.com/oceankombat</t>
  </si>
  <si>
    <t>Play Aiagentz Game</t>
  </si>
  <si>
    <t>Assets/Res/Sprites/Items/icon_renwu_aiagentz.png</t>
  </si>
  <si>
    <t>https://t.me/aiagentz_bot</t>
  </si>
  <si>
    <t>Play Boostgg Game</t>
  </si>
  <si>
    <t>Assets/Res/Sprites/Items/icon_renwu_boostgg.png</t>
  </si>
  <si>
    <t>https://t.me/boostgg_bot</t>
  </si>
  <si>
    <t>Play Merch Arcade Game</t>
  </si>
  <si>
    <t>Assets/Res/Sprites/Items/icon_renwu_Mixie.png</t>
  </si>
  <si>
    <t>https://t.me/MechArcadebot?start=2003788998</t>
  </si>
  <si>
    <t>Play Hive Game</t>
  </si>
  <si>
    <t>Assets/Res/Sprites/Items/icon_renwu_Hive.png</t>
  </si>
  <si>
    <t>https://t.me/h1vemind_bot/referral?startapp=3gixyy</t>
  </si>
  <si>
    <t>成就累计登录1天</t>
  </si>
  <si>
    <t>{5,210}</t>
  </si>
  <si>
    <t>Day 1</t>
  </si>
  <si>
    <t>Assets/Res/Sprites/Items/libao_daxiangchaopiao.png</t>
  </si>
  <si>
    <t>成就累计登录2天</t>
  </si>
  <si>
    <t>Day 2</t>
  </si>
  <si>
    <t>Assets/Res/Sprites/Items/libao_daxiangzuanshi.png</t>
  </si>
  <si>
    <t>成就累计登录3天</t>
  </si>
  <si>
    <t>Day 3</t>
  </si>
  <si>
    <t>Assets/Res/Sprites/Items/libao_daxiangK.png</t>
  </si>
  <si>
    <t>成就累计登录5天</t>
  </si>
  <si>
    <t>Day 5</t>
  </si>
  <si>
    <t>成就累计登录7天</t>
  </si>
  <si>
    <t>Day 7</t>
  </si>
  <si>
    <t>Assets/Res/Sprites/Items/libao_haohuaK.png</t>
  </si>
  <si>
    <t>成就累计登录10天</t>
  </si>
  <si>
    <t>Day 10</t>
  </si>
  <si>
    <t>成就累计登录14天</t>
  </si>
  <si>
    <t>Day 14</t>
  </si>
  <si>
    <t>成就累计登录20天</t>
  </si>
  <si>
    <t>Day 20</t>
  </si>
  <si>
    <t>成就累计登录25天</t>
  </si>
  <si>
    <t>Day 25</t>
  </si>
  <si>
    <t>成就累计登录30天</t>
  </si>
  <si>
    <t>Day 30</t>
  </si>
  <si>
    <t>成就完成首充</t>
  </si>
  <si>
    <t>First recharge</t>
  </si>
  <si>
    <t>1</t>
  </si>
  <si>
    <t>Assets/Res/Sprites/Items/libao_zuanshi_shao.png</t>
  </si>
  <si>
    <t>累计充值$10</t>
  </si>
  <si>
    <t>$10</t>
  </si>
  <si>
    <t>累计充值$20</t>
  </si>
  <si>
    <t>$20</t>
  </si>
  <si>
    <t>累计充值$50</t>
  </si>
  <si>
    <t>$50</t>
  </si>
  <si>
    <t>Assets/Res/Sprites/Items/libao_zuanshi_zhong.png</t>
  </si>
  <si>
    <t>累计充值$100</t>
  </si>
  <si>
    <t>$100</t>
  </si>
  <si>
    <t>累计充值$200</t>
  </si>
  <si>
    <t>$200</t>
  </si>
  <si>
    <t>Assets/Res/Sprites/Items/libao_zuanshi_da.png</t>
  </si>
  <si>
    <t>累计充值$500</t>
  </si>
  <si>
    <t>$500</t>
  </si>
  <si>
    <t>累计充值$1000</t>
  </si>
  <si>
    <t>$1000</t>
  </si>
  <si>
    <t>Assets/Res/Sprites/Items/libao_daizuanshi.png</t>
  </si>
  <si>
    <t>累计充值$2000</t>
  </si>
  <si>
    <t>$2000</t>
  </si>
  <si>
    <t>累计充值$5000</t>
  </si>
  <si>
    <t>$5000</t>
  </si>
  <si>
    <t>累计邀请1人</t>
  </si>
  <si>
    <t>累计邀请2人</t>
  </si>
  <si>
    <t>累计邀请5人</t>
  </si>
  <si>
    <t>累计邀请10人</t>
  </si>
  <si>
    <t>累计邀请20人</t>
  </si>
  <si>
    <t>累计邀请50人</t>
  </si>
  <si>
    <t>累计邀请100人</t>
  </si>
  <si>
    <t>3地图第1名1次</t>
  </si>
  <si>
    <t>3地图第1名2次</t>
  </si>
  <si>
    <t>3地图第1名3次</t>
  </si>
  <si>
    <t>3地图第1名4次</t>
  </si>
  <si>
    <t>3地图第1名5次</t>
  </si>
  <si>
    <t>3地图第1名6次</t>
  </si>
  <si>
    <t>3地图第1名7次</t>
  </si>
  <si>
    <t>3地图第1名8次</t>
  </si>
  <si>
    <t>3地图第1名9次</t>
  </si>
  <si>
    <t>3地图第1名10次</t>
  </si>
  <si>
    <t>4地图第1名1次</t>
  </si>
  <si>
    <t>4地图第1名2次</t>
  </si>
  <si>
    <t>4地图第1名3次</t>
  </si>
  <si>
    <t>4地图第1名4次</t>
  </si>
  <si>
    <t>4地图第1名5次</t>
  </si>
  <si>
    <t>4地图第1名6次</t>
  </si>
  <si>
    <t>4地图第1名7次</t>
  </si>
  <si>
    <t>4地图第1名8次</t>
  </si>
  <si>
    <t>4地图第1名9次</t>
  </si>
  <si>
    <t>4地图第1名10次</t>
  </si>
  <si>
    <t>5地图第1名1次</t>
  </si>
  <si>
    <t>5地图第1名2次</t>
  </si>
  <si>
    <t>5地图第1名3次</t>
  </si>
  <si>
    <t>5地图第1名4次</t>
  </si>
  <si>
    <t>5地图第1名5次</t>
  </si>
  <si>
    <t>5地图第1名6次</t>
  </si>
  <si>
    <t>5地图第1名7次</t>
  </si>
  <si>
    <t>5地图第1名8次</t>
  </si>
  <si>
    <t>5地图第1名9次</t>
  </si>
  <si>
    <t>5地图第1名10次</t>
  </si>
  <si>
    <t>6地图第1名1次</t>
  </si>
  <si>
    <t>6地图第1名2次</t>
  </si>
  <si>
    <t>6地图第1名3次</t>
  </si>
  <si>
    <t>6地图第1名4次</t>
  </si>
  <si>
    <t>6地图第1名5次</t>
  </si>
  <si>
    <t>6地图第1名6次</t>
  </si>
  <si>
    <t>6地图第1名7次</t>
  </si>
  <si>
    <t>6地图第1名8次</t>
  </si>
  <si>
    <t>6地图第1名9次</t>
  </si>
  <si>
    <t>6地图第1名10次</t>
  </si>
  <si>
    <t>7地图第1名1次</t>
  </si>
  <si>
    <t>7地图第1名2次</t>
  </si>
  <si>
    <t>7地图第1名3次</t>
  </si>
  <si>
    <t>7地图第1名4次</t>
  </si>
  <si>
    <t>7地图第1名5次</t>
  </si>
  <si>
    <t>7地图第1名6次</t>
  </si>
  <si>
    <t>7地图第1名7次</t>
  </si>
  <si>
    <t>7地图第1名8次</t>
  </si>
  <si>
    <t>7地图第1名9次</t>
  </si>
  <si>
    <t>7地图第1名10次</t>
  </si>
  <si>
    <t>转盘七日任务 累计参与3次宝箱玩法</t>
  </si>
  <si>
    <t>Earn 3 box rewards         ({0})</t>
  </si>
  <si>
    <t>转盘七日任务 累计消耗钻石</t>
  </si>
  <si>
    <t>Spend 3000 CyrilO          ({0})</t>
  </si>
  <si>
    <t>转盘七日任务 完成30次匹配玩法</t>
  </si>
  <si>
    <t>Complete 10 matches        ({0})</t>
  </si>
  <si>
    <t>转盘七日任务 车辆品质提升到A</t>
  </si>
  <si>
    <t>Upgrade kart quality to A</t>
  </si>
  <si>
    <t>转盘七日任务 每日签到1</t>
  </si>
  <si>
    <t>Login to kartparty day 1</t>
  </si>
  <si>
    <t>转盘七日任务 每日签到2</t>
  </si>
  <si>
    <t>Login to kartparty day 2</t>
  </si>
  <si>
    <t>转盘七日任务 每日签到3</t>
  </si>
  <si>
    <t>Login to kartparty day 3</t>
  </si>
  <si>
    <t>转盘七日任务 每日签到4</t>
  </si>
  <si>
    <t>Login to kartparty day 4</t>
  </si>
  <si>
    <t>转盘七日任务 每日签到5</t>
  </si>
  <si>
    <t>Login to kartparty day 5</t>
  </si>
  <si>
    <t>转盘七日任务 每日签到6</t>
  </si>
  <si>
    <t>Login to kartparty day 6</t>
  </si>
  <si>
    <t>转盘七日任务 每日签到7</t>
  </si>
  <si>
    <t>Login to kartparty day 7</t>
  </si>
  <si>
    <t>完成一次全部每日任务</t>
  </si>
  <si>
    <t>Complete all daily tasks in a Task function</t>
  </si>
  <si>
    <t>{</t>
  </si>
  <si>
    <t>}</t>
  </si>
  <si>
    <t>加入Kartparty Chat</t>
  </si>
  <si>
    <t xml:space="preserve">转盘七日任务 消耗钻石 </t>
  </si>
  <si>
    <t xml:space="preserve">转盘七日任务 参加质押 </t>
  </si>
  <si>
    <t xml:space="preserve">转盘七日任务 车辆升级至x级 </t>
  </si>
  <si>
    <t xml:space="preserve">转盘七日任务 参加车辆质押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</si>
</sst>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sz val="10.5"/>
      <color theme="1"/>
      <name val="宋体"/>
      <charset val="134"/>
    </font>
    <font>
      <sz val="10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 applyAlignment="1">
      <alignment horizontal="left" vertical="center"/>
    </xf>
    <xf numFmtId="0" fontId="2" fillId="3" borderId="0" xfId="0" applyFont="1" applyFill="1" applyAlignment="1">
      <alignment horizontal="left"/>
    </xf>
    <xf numFmtId="0" fontId="0" fillId="4" borderId="0" xfId="0" applyFill="1" applyAlignment="1">
      <alignment horizontal="left" vertical="center"/>
    </xf>
    <xf numFmtId="0" fontId="0" fillId="4" borderId="0" xfId="0" applyFill="1"/>
    <xf numFmtId="0" fontId="0" fillId="0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ont="1" applyFill="1" applyAlignment="1">
      <alignment horizontal="left" vertical="center"/>
    </xf>
    <xf numFmtId="49" fontId="0" fillId="0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5" fillId="2" borderId="0" xfId="6" applyFill="1" applyAlignment="1">
      <alignment horizontal="left"/>
    </xf>
    <xf numFmtId="0" fontId="0" fillId="5" borderId="0" xfId="0" applyFill="1" applyAlignment="1">
      <alignment horizontal="left"/>
    </xf>
    <xf numFmtId="0" fontId="5" fillId="5" borderId="0" xfId="6" applyFill="1" applyAlignment="1">
      <alignment horizontal="left"/>
    </xf>
    <xf numFmtId="0" fontId="6" fillId="2" borderId="0" xfId="6" applyFon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2" borderId="0" xfId="0" applyFill="1"/>
    <xf numFmtId="0" fontId="0" fillId="0" borderId="0" xfId="0" applyNumberFormat="1" applyFill="1" applyAlignment="1">
      <alignment horizontal="left" vertical="center"/>
    </xf>
    <xf numFmtId="0" fontId="0" fillId="4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t.me/UTXORDChannelIsBithoven" TargetMode="External"/><Relationship Id="rId6" Type="http://schemas.openxmlformats.org/officeDocument/2006/relationships/hyperlink" Target="https://t.me/h1vemind_bot/referral?startapp=3gixyy" TargetMode="External"/><Relationship Id="rId5" Type="http://schemas.openxmlformats.org/officeDocument/2006/relationships/hyperlink" Target="https://t.me/Titan_tgame_bot" TargetMode="External"/><Relationship Id="rId4" Type="http://schemas.openxmlformats.org/officeDocument/2006/relationships/hyperlink" Target="https://t.me/seispin_updates" TargetMode="External"/><Relationship Id="rId3" Type="http://schemas.openxmlformats.org/officeDocument/2006/relationships/hyperlink" Target="https://t.me/tongardenofficial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4"/>
  <sheetViews>
    <sheetView tabSelected="1" workbookViewId="0">
      <pane ySplit="8" topLeftCell="A90" activePane="bottomLeft" state="frozen"/>
      <selection/>
      <selection pane="bottomLeft" activeCell="C98" sqref="C98"/>
    </sheetView>
  </sheetViews>
  <sheetFormatPr defaultColWidth="9" defaultRowHeight="13.5"/>
  <cols>
    <col min="1" max="1" width="8.375" style="11" customWidth="1"/>
    <col min="2" max="2" width="10.375" style="11" customWidth="1"/>
    <col min="3" max="3" width="29" style="11" customWidth="1"/>
    <col min="4" max="4" width="10.375" style="11" customWidth="1"/>
    <col min="5" max="5" width="9.375" style="11" customWidth="1"/>
    <col min="6" max="6" width="10.375" style="11" customWidth="1"/>
    <col min="7" max="7" width="12.625" style="11" customWidth="1"/>
    <col min="8" max="8" width="8.875" style="11" customWidth="1"/>
    <col min="9" max="10" width="21.5" style="11" customWidth="1"/>
    <col min="11" max="14" width="16" style="11" customWidth="1"/>
    <col min="15" max="15" width="10.375" style="11" customWidth="1"/>
    <col min="16" max="16" width="24.875" style="11" customWidth="1"/>
    <col min="17" max="17" width="40.375" style="11" customWidth="1"/>
    <col min="18" max="18" width="7.375" style="11" hidden="1" customWidth="1"/>
    <col min="19" max="19" width="7.375" style="12" customWidth="1"/>
    <col min="20" max="20" width="59.375" style="11" customWidth="1"/>
    <col min="21" max="21" width="73.75" style="11" customWidth="1"/>
    <col min="22" max="16384" width="9" style="11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8"/>
      <c r="T1" s="1"/>
      <c r="U1" s="1"/>
    </row>
    <row r="2" spans="1:21">
      <c r="A2" s="1" t="s">
        <v>1</v>
      </c>
      <c r="B2" s="1" t="s">
        <v>2</v>
      </c>
      <c r="C2" s="1"/>
      <c r="D2" s="1" t="s">
        <v>2</v>
      </c>
      <c r="E2" s="1" t="s">
        <v>2</v>
      </c>
      <c r="F2" s="1" t="s">
        <v>2</v>
      </c>
      <c r="G2" s="1" t="s">
        <v>3</v>
      </c>
      <c r="H2" s="1" t="s">
        <v>4</v>
      </c>
      <c r="I2" s="1" t="s">
        <v>2</v>
      </c>
      <c r="J2" s="1" t="s">
        <v>2</v>
      </c>
      <c r="K2" s="1" t="s">
        <v>2</v>
      </c>
      <c r="L2" s="1" t="s">
        <v>4</v>
      </c>
      <c r="M2" s="1" t="s">
        <v>2</v>
      </c>
      <c r="N2" s="1" t="s">
        <v>4</v>
      </c>
      <c r="O2" s="1" t="s">
        <v>2</v>
      </c>
      <c r="P2" s="1" t="s">
        <v>2</v>
      </c>
      <c r="Q2" s="1" t="s">
        <v>4</v>
      </c>
      <c r="R2" s="1" t="s">
        <v>4</v>
      </c>
      <c r="S2" s="18" t="s">
        <v>4</v>
      </c>
      <c r="T2" s="1" t="s">
        <v>4</v>
      </c>
      <c r="U2" s="1" t="s">
        <v>4</v>
      </c>
    </row>
    <row r="3" spans="1:21">
      <c r="A3" s="1" t="s">
        <v>5</v>
      </c>
      <c r="B3" s="1" t="s">
        <v>6</v>
      </c>
      <c r="C3" s="1"/>
      <c r="D3" s="13" t="s">
        <v>7</v>
      </c>
      <c r="E3" s="13" t="s">
        <v>8</v>
      </c>
      <c r="F3" s="1" t="s">
        <v>9</v>
      </c>
      <c r="G3" s="1" t="s">
        <v>10</v>
      </c>
      <c r="H3" s="1" t="s">
        <v>11</v>
      </c>
      <c r="I3" s="13" t="s">
        <v>12</v>
      </c>
      <c r="J3" s="13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7" t="s">
        <v>18</v>
      </c>
      <c r="P3" s="13" t="s">
        <v>19</v>
      </c>
      <c r="Q3" s="1" t="s">
        <v>20</v>
      </c>
      <c r="R3" s="13" t="s">
        <v>21</v>
      </c>
      <c r="S3" s="19" t="s">
        <v>22</v>
      </c>
      <c r="T3" s="1" t="s">
        <v>23</v>
      </c>
      <c r="U3" s="1" t="s">
        <v>24</v>
      </c>
    </row>
    <row r="4" spans="1:21">
      <c r="A4" s="1" t="s">
        <v>25</v>
      </c>
      <c r="B4" s="1" t="s">
        <v>26</v>
      </c>
      <c r="C4" s="1"/>
      <c r="D4" s="1" t="s">
        <v>27</v>
      </c>
      <c r="E4" s="1" t="s">
        <v>27</v>
      </c>
      <c r="F4" s="1" t="s">
        <v>27</v>
      </c>
      <c r="G4" s="1" t="s">
        <v>27</v>
      </c>
      <c r="H4" s="1" t="s">
        <v>27</v>
      </c>
      <c r="I4" s="1" t="s">
        <v>28</v>
      </c>
      <c r="J4" s="1" t="s">
        <v>28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28</v>
      </c>
      <c r="P4" s="1" t="s">
        <v>28</v>
      </c>
      <c r="Q4" s="1" t="s">
        <v>29</v>
      </c>
      <c r="R4" s="1" t="s">
        <v>29</v>
      </c>
      <c r="S4" s="18" t="s">
        <v>27</v>
      </c>
      <c r="T4" s="1" t="s">
        <v>29</v>
      </c>
      <c r="U4" s="1" t="s">
        <v>29</v>
      </c>
    </row>
    <row r="5" spans="1:21">
      <c r="A5" s="1" t="s">
        <v>30</v>
      </c>
      <c r="B5" s="1"/>
      <c r="C5" s="1" t="s">
        <v>31</v>
      </c>
      <c r="D5" s="1"/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/>
      <c r="L5" s="1" t="s">
        <v>38</v>
      </c>
      <c r="M5" s="1"/>
      <c r="N5" s="1"/>
      <c r="O5" s="1" t="s">
        <v>39</v>
      </c>
      <c r="P5" s="1"/>
      <c r="Q5" s="1"/>
      <c r="R5" s="1"/>
      <c r="S5" s="18" t="s">
        <v>40</v>
      </c>
      <c r="T5" s="1" t="s">
        <v>41</v>
      </c>
      <c r="U5" s="1" t="s">
        <v>42</v>
      </c>
    </row>
    <row r="6" spans="1:21">
      <c r="A6" s="1"/>
      <c r="B6" s="1">
        <v>10101</v>
      </c>
      <c r="C6" s="3" t="s">
        <v>43</v>
      </c>
      <c r="D6" s="1">
        <v>1</v>
      </c>
      <c r="E6" s="1">
        <v>1</v>
      </c>
      <c r="F6" s="1">
        <v>102</v>
      </c>
      <c r="G6" s="1">
        <v>0</v>
      </c>
      <c r="H6" s="1">
        <v>0</v>
      </c>
      <c r="I6" s="1"/>
      <c r="J6" s="1">
        <v>0</v>
      </c>
      <c r="K6" s="1">
        <v>1</v>
      </c>
      <c r="L6" s="1"/>
      <c r="M6" s="1">
        <v>0</v>
      </c>
      <c r="N6" s="9">
        <v>0</v>
      </c>
      <c r="O6" s="1" t="str">
        <f>VLOOKUP(B6,Sheet2!A:G,7,0)</f>
        <v>{2,50}</v>
      </c>
      <c r="P6" s="1" t="s">
        <v>44</v>
      </c>
      <c r="Q6" s="1" t="s">
        <v>45</v>
      </c>
      <c r="R6" s="9"/>
      <c r="S6" s="20">
        <v>2</v>
      </c>
      <c r="T6" s="9" t="s">
        <v>46</v>
      </c>
      <c r="U6" s="9"/>
    </row>
    <row r="7" ht="14.25" spans="1:21">
      <c r="A7" s="1"/>
      <c r="B7" s="1">
        <v>10102</v>
      </c>
      <c r="C7" s="3" t="s">
        <v>47</v>
      </c>
      <c r="D7" s="1">
        <v>1</v>
      </c>
      <c r="E7" s="1">
        <v>1</v>
      </c>
      <c r="F7" s="1">
        <v>103</v>
      </c>
      <c r="G7" s="1">
        <v>0</v>
      </c>
      <c r="H7" s="1">
        <v>5</v>
      </c>
      <c r="I7" s="1"/>
      <c r="J7" s="1">
        <v>0</v>
      </c>
      <c r="K7" s="1">
        <v>1</v>
      </c>
      <c r="L7" s="1"/>
      <c r="M7" s="9">
        <v>0</v>
      </c>
      <c r="N7" s="9">
        <v>0</v>
      </c>
      <c r="O7" s="1" t="str">
        <f>VLOOKUP(B7,Sheet2!A:G,7,0)</f>
        <v>{2,400}</v>
      </c>
      <c r="P7" s="1" t="s">
        <v>44</v>
      </c>
      <c r="Q7" s="2" t="s">
        <v>48</v>
      </c>
      <c r="R7" s="9"/>
      <c r="S7" s="20">
        <v>3</v>
      </c>
      <c r="T7" s="9" t="s">
        <v>49</v>
      </c>
      <c r="U7" s="9"/>
    </row>
    <row r="8" ht="14.25" spans="1:21">
      <c r="A8" s="1" t="s">
        <v>50</v>
      </c>
      <c r="B8" s="1">
        <v>10103</v>
      </c>
      <c r="C8" s="1" t="s">
        <v>51</v>
      </c>
      <c r="D8" s="1">
        <v>1</v>
      </c>
      <c r="E8" s="1">
        <v>1</v>
      </c>
      <c r="F8" s="1">
        <v>113</v>
      </c>
      <c r="G8" s="1">
        <v>0</v>
      </c>
      <c r="H8" s="1">
        <v>9</v>
      </c>
      <c r="I8" s="1"/>
      <c r="J8" s="1">
        <v>0</v>
      </c>
      <c r="K8" s="1">
        <v>1</v>
      </c>
      <c r="L8" s="1"/>
      <c r="M8" s="1">
        <v>0</v>
      </c>
      <c r="N8" s="9">
        <v>0</v>
      </c>
      <c r="O8" s="1" t="str">
        <f>VLOOKUP(B8,Sheet2!A:G,7,0)</f>
        <v>{2,100}</v>
      </c>
      <c r="P8" s="1" t="s">
        <v>44</v>
      </c>
      <c r="Q8" s="2" t="s">
        <v>52</v>
      </c>
      <c r="R8" s="9"/>
      <c r="S8" s="18">
        <v>1</v>
      </c>
      <c r="T8" s="9" t="s">
        <v>53</v>
      </c>
      <c r="U8" s="9"/>
    </row>
    <row r="9" ht="14.25" spans="1:21">
      <c r="A9" s="1"/>
      <c r="B9" s="1">
        <v>10104</v>
      </c>
      <c r="C9" s="3" t="s">
        <v>54</v>
      </c>
      <c r="D9" s="1">
        <v>1</v>
      </c>
      <c r="E9" s="1">
        <v>1</v>
      </c>
      <c r="F9" s="1">
        <v>1</v>
      </c>
      <c r="G9" s="1">
        <v>0</v>
      </c>
      <c r="H9" s="1">
        <v>1</v>
      </c>
      <c r="I9" s="1"/>
      <c r="J9" s="1">
        <v>0</v>
      </c>
      <c r="K9" s="1">
        <v>5</v>
      </c>
      <c r="L9" s="1"/>
      <c r="M9" s="1">
        <v>0</v>
      </c>
      <c r="N9" s="9">
        <v>0</v>
      </c>
      <c r="O9" s="1" t="str">
        <f>VLOOKUP(B9,Sheet2!A:G,7,0)</f>
        <v>{2,100}</v>
      </c>
      <c r="P9" s="1" t="s">
        <v>44</v>
      </c>
      <c r="Q9" s="1" t="s">
        <v>55</v>
      </c>
      <c r="R9" s="9"/>
      <c r="S9" s="20">
        <v>3</v>
      </c>
      <c r="T9" s="9" t="s">
        <v>56</v>
      </c>
      <c r="U9" s="9"/>
    </row>
    <row r="10" s="9" customFormat="1" spans="1:20">
      <c r="A10" s="1"/>
      <c r="B10" s="14">
        <v>10105</v>
      </c>
      <c r="C10" s="4" t="s">
        <v>57</v>
      </c>
      <c r="D10" s="1">
        <v>1</v>
      </c>
      <c r="E10" s="1">
        <v>1</v>
      </c>
      <c r="F10" s="1">
        <v>116</v>
      </c>
      <c r="G10" s="1">
        <v>0</v>
      </c>
      <c r="H10" s="1">
        <v>3</v>
      </c>
      <c r="I10" s="1"/>
      <c r="J10" s="1">
        <v>0</v>
      </c>
      <c r="K10" s="1">
        <v>1</v>
      </c>
      <c r="L10" s="1"/>
      <c r="M10" s="9">
        <v>0</v>
      </c>
      <c r="N10" s="9">
        <v>0</v>
      </c>
      <c r="O10" s="1" t="str">
        <f>VLOOKUP(B10,Sheet2!A:G,7,0)</f>
        <v>{2,100}</v>
      </c>
      <c r="P10" s="1" t="s">
        <v>44</v>
      </c>
      <c r="Q10" s="1" t="s">
        <v>58</v>
      </c>
      <c r="S10" s="20">
        <v>3</v>
      </c>
      <c r="T10" s="9" t="s">
        <v>59</v>
      </c>
    </row>
    <row r="11" s="9" customFormat="1" spans="1:20">
      <c r="A11" s="1"/>
      <c r="B11" s="14">
        <v>10106</v>
      </c>
      <c r="C11" s="4" t="s">
        <v>60</v>
      </c>
      <c r="D11" s="1">
        <v>1</v>
      </c>
      <c r="E11" s="1">
        <v>1</v>
      </c>
      <c r="F11" s="1">
        <v>125</v>
      </c>
      <c r="G11" s="1">
        <v>0</v>
      </c>
      <c r="H11" s="1">
        <v>12</v>
      </c>
      <c r="I11" s="1"/>
      <c r="J11" s="1">
        <v>0</v>
      </c>
      <c r="K11" s="1">
        <v>1</v>
      </c>
      <c r="L11" s="1"/>
      <c r="M11" s="9">
        <v>0</v>
      </c>
      <c r="N11" s="9">
        <v>0</v>
      </c>
      <c r="O11" s="1" t="str">
        <f>VLOOKUP(B11,Sheet2!A:G,7,0)</f>
        <v>{2,200}</v>
      </c>
      <c r="P11" s="1" t="s">
        <v>44</v>
      </c>
      <c r="Q11" t="s">
        <v>61</v>
      </c>
      <c r="S11" s="20">
        <v>3</v>
      </c>
      <c r="T11" s="9" t="s">
        <v>62</v>
      </c>
    </row>
    <row r="12" s="9" customFormat="1" spans="1:20">
      <c r="A12" s="1"/>
      <c r="B12" s="14">
        <v>10107</v>
      </c>
      <c r="C12" s="3" t="s">
        <v>63</v>
      </c>
      <c r="D12" s="1">
        <v>1</v>
      </c>
      <c r="E12" s="1">
        <v>1</v>
      </c>
      <c r="F12" s="1">
        <v>123</v>
      </c>
      <c r="G12" s="1">
        <v>0</v>
      </c>
      <c r="H12" s="1">
        <v>11</v>
      </c>
      <c r="I12" s="1"/>
      <c r="J12" s="1">
        <v>0</v>
      </c>
      <c r="K12" s="1">
        <v>1</v>
      </c>
      <c r="L12" s="1"/>
      <c r="M12" s="1">
        <v>0</v>
      </c>
      <c r="N12" s="1">
        <v>0</v>
      </c>
      <c r="O12" s="1" t="str">
        <f>VLOOKUP(B12,Sheet2!A:G,7,0)</f>
        <v>{2,30}</v>
      </c>
      <c r="P12" s="1" t="s">
        <v>44</v>
      </c>
      <c r="Q12" s="1" t="s">
        <v>64</v>
      </c>
      <c r="S12" s="18">
        <v>1</v>
      </c>
      <c r="T12" s="9" t="s">
        <v>65</v>
      </c>
    </row>
    <row r="13" ht="14.25" spans="1:22">
      <c r="A13" s="1"/>
      <c r="B13" s="1">
        <v>10201</v>
      </c>
      <c r="C13" s="2" t="s">
        <v>66</v>
      </c>
      <c r="D13" s="1">
        <v>2</v>
      </c>
      <c r="E13" s="1">
        <v>2</v>
      </c>
      <c r="F13" s="1">
        <v>108</v>
      </c>
      <c r="G13" s="1">
        <v>0</v>
      </c>
      <c r="H13" s="1">
        <v>7</v>
      </c>
      <c r="I13" s="1"/>
      <c r="J13" s="1">
        <v>0</v>
      </c>
      <c r="K13" s="1">
        <v>1</v>
      </c>
      <c r="L13" s="1"/>
      <c r="M13" s="9">
        <v>0</v>
      </c>
      <c r="N13" s="9">
        <v>0</v>
      </c>
      <c r="O13" s="1" t="str">
        <f>VLOOKUP(B13,Sheet2!A:G,7,0)</f>
        <v>{2,300}</v>
      </c>
      <c r="P13" s="1" t="s">
        <v>44</v>
      </c>
      <c r="Q13" s="1" t="s">
        <v>67</v>
      </c>
      <c r="R13" s="9"/>
      <c r="S13" s="18">
        <v>1</v>
      </c>
      <c r="T13" s="9" t="s">
        <v>68</v>
      </c>
      <c r="V13" s="9" t="s">
        <v>69</v>
      </c>
    </row>
    <row r="14" ht="14.25" spans="1:22">
      <c r="A14" s="1"/>
      <c r="B14" s="1">
        <v>10202</v>
      </c>
      <c r="C14" s="3" t="s">
        <v>70</v>
      </c>
      <c r="D14" s="1">
        <v>2</v>
      </c>
      <c r="E14" s="1">
        <v>2</v>
      </c>
      <c r="F14" s="1">
        <v>107</v>
      </c>
      <c r="G14" s="1">
        <v>0</v>
      </c>
      <c r="H14" s="1">
        <v>8</v>
      </c>
      <c r="I14" s="1"/>
      <c r="J14" s="1">
        <v>0</v>
      </c>
      <c r="K14" s="1">
        <v>1</v>
      </c>
      <c r="L14" s="1"/>
      <c r="M14" s="1">
        <v>0</v>
      </c>
      <c r="N14" s="9">
        <v>0</v>
      </c>
      <c r="O14" s="1" t="str">
        <f>VLOOKUP(B14,Sheet2!A:G,7,0)</f>
        <v>{2,300}</v>
      </c>
      <c r="P14" s="1" t="s">
        <v>44</v>
      </c>
      <c r="Q14" s="1" t="s">
        <v>71</v>
      </c>
      <c r="R14" s="9"/>
      <c r="S14" s="20">
        <v>2</v>
      </c>
      <c r="T14" s="9" t="s">
        <v>68</v>
      </c>
      <c r="V14" s="9" t="s">
        <v>72</v>
      </c>
    </row>
    <row r="15" s="9" customFormat="1" spans="1:20">
      <c r="A15" s="1"/>
      <c r="B15" s="1">
        <v>10204</v>
      </c>
      <c r="C15" s="3" t="s">
        <v>73</v>
      </c>
      <c r="D15" s="1">
        <v>2</v>
      </c>
      <c r="E15" s="1">
        <v>2</v>
      </c>
      <c r="F15" s="1">
        <v>123</v>
      </c>
      <c r="G15" s="1">
        <v>0</v>
      </c>
      <c r="H15" s="1">
        <v>11</v>
      </c>
      <c r="I15" s="1"/>
      <c r="J15" s="1">
        <v>0</v>
      </c>
      <c r="K15" s="1">
        <v>10</v>
      </c>
      <c r="L15" s="1"/>
      <c r="M15" s="1">
        <v>0</v>
      </c>
      <c r="N15" s="1">
        <v>0</v>
      </c>
      <c r="O15" s="1" t="str">
        <f>VLOOKUP(B15,Sheet2!A:G,7,0)</f>
        <v>{2,30}</v>
      </c>
      <c r="P15" s="1" t="s">
        <v>44</v>
      </c>
      <c r="Q15" s="1" t="s">
        <v>74</v>
      </c>
      <c r="S15" s="18">
        <v>1</v>
      </c>
      <c r="T15" s="9" t="s">
        <v>65</v>
      </c>
    </row>
    <row r="16" customFormat="1" ht="14.25" spans="1:21">
      <c r="A16" s="1" t="s">
        <v>50</v>
      </c>
      <c r="B16" s="1">
        <v>10205</v>
      </c>
      <c r="C16" s="2" t="s">
        <v>75</v>
      </c>
      <c r="D16" s="1">
        <v>2</v>
      </c>
      <c r="E16" s="1">
        <v>2</v>
      </c>
      <c r="F16" s="1">
        <v>121</v>
      </c>
      <c r="G16" s="1">
        <v>0</v>
      </c>
      <c r="H16" s="1">
        <v>6</v>
      </c>
      <c r="I16" s="1"/>
      <c r="J16" s="1">
        <v>0</v>
      </c>
      <c r="K16" s="1">
        <v>1</v>
      </c>
      <c r="L16" s="1"/>
      <c r="M16" s="9">
        <v>0</v>
      </c>
      <c r="N16" s="9">
        <v>0</v>
      </c>
      <c r="O16" s="1" t="str">
        <f>VLOOKUP(B16,Sheet2!A:G,7,0)</f>
        <v>{2,60}</v>
      </c>
      <c r="P16" s="1" t="s">
        <v>44</v>
      </c>
      <c r="Q16" s="2" t="s">
        <v>75</v>
      </c>
      <c r="R16" s="1"/>
      <c r="S16" s="18">
        <v>1</v>
      </c>
      <c r="T16" s="9" t="s">
        <v>76</v>
      </c>
      <c r="U16" s="9"/>
    </row>
    <row r="17" s="9" customFormat="1" hidden="1" spans="1:21">
      <c r="A17" s="5" t="s">
        <v>50</v>
      </c>
      <c r="B17" s="5">
        <v>10301</v>
      </c>
      <c r="C17" s="6" t="s">
        <v>77</v>
      </c>
      <c r="D17" s="5">
        <v>14</v>
      </c>
      <c r="E17" s="5">
        <v>2</v>
      </c>
      <c r="F17" s="5">
        <v>118</v>
      </c>
      <c r="G17" s="1">
        <v>0</v>
      </c>
      <c r="H17" s="5">
        <v>0</v>
      </c>
      <c r="I17" s="5">
        <v>1</v>
      </c>
      <c r="J17" s="1">
        <v>0</v>
      </c>
      <c r="K17" s="5">
        <v>1</v>
      </c>
      <c r="L17" s="5"/>
      <c r="M17" s="5">
        <v>0</v>
      </c>
      <c r="N17" s="5">
        <v>0</v>
      </c>
      <c r="O17" s="5" t="str">
        <f>VLOOKUP(B17,Sheet2!A:G,7,0)</f>
        <v>{2,35}</v>
      </c>
      <c r="P17" s="5" t="s">
        <v>44</v>
      </c>
      <c r="Q17" s="5" t="s">
        <v>78</v>
      </c>
      <c r="R17" s="21"/>
      <c r="S17" s="22">
        <v>1</v>
      </c>
      <c r="T17" s="21" t="s">
        <v>79</v>
      </c>
      <c r="U17" s="9" t="s">
        <v>80</v>
      </c>
    </row>
    <row r="18" s="9" customFormat="1" hidden="1" spans="1:21">
      <c r="A18" s="5" t="s">
        <v>50</v>
      </c>
      <c r="B18" s="5">
        <v>10302</v>
      </c>
      <c r="C18" s="6" t="s">
        <v>81</v>
      </c>
      <c r="D18" s="5">
        <v>14</v>
      </c>
      <c r="E18" s="5">
        <v>2</v>
      </c>
      <c r="F18" s="5">
        <v>118</v>
      </c>
      <c r="G18" s="1">
        <v>0</v>
      </c>
      <c r="H18" s="5">
        <v>0</v>
      </c>
      <c r="I18" s="5">
        <v>3</v>
      </c>
      <c r="J18" s="1">
        <v>0</v>
      </c>
      <c r="K18" s="5">
        <v>1</v>
      </c>
      <c r="L18" s="5"/>
      <c r="M18" s="5">
        <v>0</v>
      </c>
      <c r="N18" s="5">
        <v>0</v>
      </c>
      <c r="O18" s="5" t="str">
        <f>VLOOKUP(B18,Sheet2!A:G,7,0)</f>
        <v>{2,35}</v>
      </c>
      <c r="P18" s="5" t="s">
        <v>44</v>
      </c>
      <c r="Q18" s="14" t="s">
        <v>82</v>
      </c>
      <c r="R18" s="10"/>
      <c r="S18" s="23">
        <v>1</v>
      </c>
      <c r="T18" s="10" t="s">
        <v>83</v>
      </c>
      <c r="U18" s="10" t="s">
        <v>84</v>
      </c>
    </row>
    <row r="19" s="9" customFormat="1" hidden="1" spans="1:21">
      <c r="A19" s="5" t="s">
        <v>50</v>
      </c>
      <c r="B19" s="5">
        <v>10303</v>
      </c>
      <c r="C19" s="6" t="s">
        <v>85</v>
      </c>
      <c r="D19" s="5">
        <v>14</v>
      </c>
      <c r="E19" s="5">
        <v>2</v>
      </c>
      <c r="F19" s="5">
        <v>118</v>
      </c>
      <c r="G19" s="1">
        <v>0</v>
      </c>
      <c r="H19" s="5">
        <v>0</v>
      </c>
      <c r="I19" s="5">
        <v>4</v>
      </c>
      <c r="J19" s="1">
        <v>0</v>
      </c>
      <c r="K19" s="5">
        <v>1</v>
      </c>
      <c r="L19" s="5"/>
      <c r="M19" s="5">
        <v>0</v>
      </c>
      <c r="N19" s="5">
        <v>0</v>
      </c>
      <c r="O19" s="5" t="str">
        <f>VLOOKUP(B19,Sheet2!A:G,7,0)</f>
        <v>{2,35}</v>
      </c>
      <c r="P19" s="5" t="s">
        <v>44</v>
      </c>
      <c r="Q19" s="14" t="s">
        <v>86</v>
      </c>
      <c r="R19" s="10"/>
      <c r="S19" s="23">
        <v>1</v>
      </c>
      <c r="T19" s="10" t="s">
        <v>83</v>
      </c>
      <c r="U19" s="10" t="s">
        <v>87</v>
      </c>
    </row>
    <row r="20" s="9" customFormat="1" hidden="1" spans="1:21">
      <c r="A20" s="5" t="s">
        <v>50</v>
      </c>
      <c r="B20" s="5">
        <v>10304</v>
      </c>
      <c r="C20" s="6" t="s">
        <v>88</v>
      </c>
      <c r="D20" s="5">
        <v>14</v>
      </c>
      <c r="E20" s="5">
        <v>2</v>
      </c>
      <c r="F20" s="5">
        <v>118</v>
      </c>
      <c r="G20" s="1">
        <v>0</v>
      </c>
      <c r="H20" s="5">
        <v>0</v>
      </c>
      <c r="I20" s="5">
        <v>5</v>
      </c>
      <c r="J20" s="1">
        <v>0</v>
      </c>
      <c r="K20" s="5">
        <v>1</v>
      </c>
      <c r="L20" s="5"/>
      <c r="M20" s="5">
        <v>0</v>
      </c>
      <c r="N20" s="5">
        <v>0</v>
      </c>
      <c r="O20" s="5" t="str">
        <f>VLOOKUP(B20,Sheet2!A:G,7,0)</f>
        <v>{2,35}</v>
      </c>
      <c r="P20" s="5" t="s">
        <v>44</v>
      </c>
      <c r="Q20" s="14" t="s">
        <v>89</v>
      </c>
      <c r="R20" s="10"/>
      <c r="S20" s="23">
        <v>1</v>
      </c>
      <c r="T20" s="10" t="s">
        <v>90</v>
      </c>
      <c r="U20" s="10" t="s">
        <v>91</v>
      </c>
    </row>
    <row r="21" s="9" customFormat="1" hidden="1" spans="1:21">
      <c r="A21" s="5" t="s">
        <v>50</v>
      </c>
      <c r="B21" s="5">
        <v>10305</v>
      </c>
      <c r="C21" s="6" t="s">
        <v>92</v>
      </c>
      <c r="D21" s="5">
        <v>14</v>
      </c>
      <c r="E21" s="5">
        <v>2</v>
      </c>
      <c r="F21" s="5">
        <v>118</v>
      </c>
      <c r="G21" s="1">
        <v>0</v>
      </c>
      <c r="H21" s="5">
        <v>0</v>
      </c>
      <c r="I21" s="5">
        <v>6</v>
      </c>
      <c r="J21" s="1">
        <v>0</v>
      </c>
      <c r="K21" s="5">
        <v>1</v>
      </c>
      <c r="L21" s="5"/>
      <c r="M21" s="5">
        <v>0</v>
      </c>
      <c r="N21" s="5">
        <v>0</v>
      </c>
      <c r="O21" s="5" t="str">
        <f>VLOOKUP(B21,Sheet2!A:G,7,0)</f>
        <v>{2,35}</v>
      </c>
      <c r="P21" s="5" t="s">
        <v>44</v>
      </c>
      <c r="Q21" s="14" t="s">
        <v>93</v>
      </c>
      <c r="R21" s="10"/>
      <c r="S21" s="23">
        <v>1</v>
      </c>
      <c r="T21" s="10" t="s">
        <v>94</v>
      </c>
      <c r="U21" s="10" t="s">
        <v>95</v>
      </c>
    </row>
    <row r="22" s="9" customFormat="1" hidden="1" spans="1:21">
      <c r="A22" s="5" t="s">
        <v>50</v>
      </c>
      <c r="B22" s="5">
        <v>10306</v>
      </c>
      <c r="C22" s="6" t="s">
        <v>96</v>
      </c>
      <c r="D22" s="5">
        <v>14</v>
      </c>
      <c r="E22" s="5">
        <v>2</v>
      </c>
      <c r="F22" s="5">
        <v>118</v>
      </c>
      <c r="G22" s="1">
        <v>0</v>
      </c>
      <c r="H22" s="5">
        <v>0</v>
      </c>
      <c r="I22" s="5">
        <v>7</v>
      </c>
      <c r="J22" s="1">
        <v>0</v>
      </c>
      <c r="K22" s="5">
        <v>1</v>
      </c>
      <c r="L22" s="5"/>
      <c r="M22" s="5">
        <v>0</v>
      </c>
      <c r="N22" s="5">
        <v>0</v>
      </c>
      <c r="O22" s="5" t="str">
        <f>VLOOKUP(B22,Sheet2!A:G,7,0)</f>
        <v>{2,35}</v>
      </c>
      <c r="P22" s="5" t="s">
        <v>44</v>
      </c>
      <c r="Q22" s="4" t="s">
        <v>96</v>
      </c>
      <c r="R22" s="10"/>
      <c r="S22" s="23">
        <v>1</v>
      </c>
      <c r="T22" s="10" t="s">
        <v>94</v>
      </c>
      <c r="U22" s="10" t="s">
        <v>97</v>
      </c>
    </row>
    <row r="23" s="9" customFormat="1" hidden="1" spans="1:21">
      <c r="A23" s="5" t="s">
        <v>50</v>
      </c>
      <c r="B23" s="5">
        <v>10307</v>
      </c>
      <c r="C23" s="6" t="s">
        <v>98</v>
      </c>
      <c r="D23" s="5">
        <v>14</v>
      </c>
      <c r="E23" s="5">
        <v>2</v>
      </c>
      <c r="F23" s="5">
        <v>118</v>
      </c>
      <c r="G23" s="1">
        <v>0</v>
      </c>
      <c r="H23" s="5">
        <v>0</v>
      </c>
      <c r="I23" s="5">
        <v>8</v>
      </c>
      <c r="J23" s="1">
        <v>0</v>
      </c>
      <c r="K23" s="5">
        <v>1</v>
      </c>
      <c r="L23" s="5"/>
      <c r="M23" s="5">
        <v>0</v>
      </c>
      <c r="N23" s="5">
        <v>0</v>
      </c>
      <c r="O23" s="5" t="str">
        <f>VLOOKUP(B23,Sheet2!A:G,7,0)</f>
        <v>{2,35}</v>
      </c>
      <c r="P23" s="5" t="s">
        <v>44</v>
      </c>
      <c r="Q23" s="14" t="s">
        <v>99</v>
      </c>
      <c r="R23" s="10"/>
      <c r="S23" s="23">
        <v>1</v>
      </c>
      <c r="T23" s="10" t="s">
        <v>100</v>
      </c>
      <c r="U23" s="10" t="s">
        <v>101</v>
      </c>
    </row>
    <row r="24" s="9" customFormat="1" hidden="1" spans="1:21">
      <c r="A24" s="5" t="s">
        <v>50</v>
      </c>
      <c r="B24" s="5">
        <v>10308</v>
      </c>
      <c r="C24" s="6" t="s">
        <v>102</v>
      </c>
      <c r="D24" s="5">
        <v>14</v>
      </c>
      <c r="E24" s="5">
        <v>2</v>
      </c>
      <c r="F24" s="5">
        <v>118</v>
      </c>
      <c r="G24" s="1">
        <v>0</v>
      </c>
      <c r="H24" s="5">
        <v>0</v>
      </c>
      <c r="I24" s="5">
        <v>9</v>
      </c>
      <c r="J24" s="1">
        <v>0</v>
      </c>
      <c r="K24" s="5">
        <v>1</v>
      </c>
      <c r="L24" s="5"/>
      <c r="M24" s="5">
        <v>0</v>
      </c>
      <c r="N24" s="5">
        <v>0</v>
      </c>
      <c r="O24" s="5" t="str">
        <f>VLOOKUP(B24,Sheet2!A:G,7,0)</f>
        <v>{2,35}</v>
      </c>
      <c r="P24" s="5" t="s">
        <v>44</v>
      </c>
      <c r="Q24" s="14" t="s">
        <v>103</v>
      </c>
      <c r="R24" s="10"/>
      <c r="S24" s="23">
        <v>1</v>
      </c>
      <c r="T24" s="10" t="s">
        <v>100</v>
      </c>
      <c r="U24" s="10" t="s">
        <v>104</v>
      </c>
    </row>
    <row r="25" s="9" customFormat="1" hidden="1" spans="1:21">
      <c r="A25" s="5" t="s">
        <v>50</v>
      </c>
      <c r="B25" s="5">
        <v>10309</v>
      </c>
      <c r="C25" s="5" t="s">
        <v>105</v>
      </c>
      <c r="D25" s="5">
        <v>14</v>
      </c>
      <c r="E25" s="5">
        <v>2</v>
      </c>
      <c r="F25" s="5">
        <v>118</v>
      </c>
      <c r="G25" s="1">
        <v>0</v>
      </c>
      <c r="H25" s="5">
        <v>0</v>
      </c>
      <c r="I25" s="5">
        <v>10</v>
      </c>
      <c r="J25" s="1">
        <v>0</v>
      </c>
      <c r="K25" s="5">
        <v>1</v>
      </c>
      <c r="L25" s="5"/>
      <c r="M25" s="5">
        <v>0</v>
      </c>
      <c r="N25" s="5">
        <v>0</v>
      </c>
      <c r="O25" s="5" t="str">
        <f>VLOOKUP(B25,Sheet2!A:G,7,0)</f>
        <v>{2,35}</v>
      </c>
      <c r="P25" s="5" t="s">
        <v>44</v>
      </c>
      <c r="Q25" s="14" t="s">
        <v>106</v>
      </c>
      <c r="R25" s="10"/>
      <c r="S25" s="23">
        <v>1</v>
      </c>
      <c r="T25" s="10" t="s">
        <v>107</v>
      </c>
      <c r="U25" s="10" t="s">
        <v>108</v>
      </c>
    </row>
    <row r="26" s="9" customFormat="1" hidden="1" spans="1:21">
      <c r="A26" s="5" t="s">
        <v>50</v>
      </c>
      <c r="B26" s="5">
        <v>10310</v>
      </c>
      <c r="C26" s="5" t="s">
        <v>109</v>
      </c>
      <c r="D26" s="5">
        <v>14</v>
      </c>
      <c r="E26" s="5">
        <v>2</v>
      </c>
      <c r="F26" s="5">
        <v>118</v>
      </c>
      <c r="G26" s="1">
        <v>0</v>
      </c>
      <c r="H26" s="5">
        <v>0</v>
      </c>
      <c r="I26" s="5">
        <v>11</v>
      </c>
      <c r="J26" s="1">
        <v>0</v>
      </c>
      <c r="K26" s="5">
        <v>1</v>
      </c>
      <c r="L26" s="5"/>
      <c r="M26" s="5">
        <v>0</v>
      </c>
      <c r="N26" s="5">
        <v>0</v>
      </c>
      <c r="O26" s="5" t="str">
        <f>VLOOKUP(B26,Sheet2!A:G,7,0)</f>
        <v>{2,35}</v>
      </c>
      <c r="P26" s="5" t="s">
        <v>44</v>
      </c>
      <c r="Q26" s="14" t="s">
        <v>110</v>
      </c>
      <c r="R26" s="10"/>
      <c r="S26" s="23">
        <v>1</v>
      </c>
      <c r="T26" s="10" t="s">
        <v>107</v>
      </c>
      <c r="U26" s="10" t="s">
        <v>111</v>
      </c>
    </row>
    <row r="27" s="9" customFormat="1" hidden="1" spans="1:21">
      <c r="A27" s="5" t="s">
        <v>50</v>
      </c>
      <c r="B27" s="5">
        <v>10311</v>
      </c>
      <c r="C27" s="5" t="s">
        <v>112</v>
      </c>
      <c r="D27" s="5">
        <v>14</v>
      </c>
      <c r="E27" s="5">
        <v>2</v>
      </c>
      <c r="F27" s="5">
        <v>118</v>
      </c>
      <c r="G27" s="1">
        <v>0</v>
      </c>
      <c r="H27" s="5">
        <v>0</v>
      </c>
      <c r="I27" s="5">
        <v>12</v>
      </c>
      <c r="J27" s="1">
        <v>0</v>
      </c>
      <c r="K27" s="5">
        <v>1</v>
      </c>
      <c r="L27" s="5"/>
      <c r="M27" s="5">
        <v>0</v>
      </c>
      <c r="N27" s="5">
        <v>0</v>
      </c>
      <c r="O27" s="5" t="str">
        <f>VLOOKUP(B27,Sheet2!A:G,7,0)</f>
        <v>{2,35}</v>
      </c>
      <c r="P27" s="5" t="s">
        <v>44</v>
      </c>
      <c r="Q27" s="14" t="s">
        <v>113</v>
      </c>
      <c r="R27" s="10"/>
      <c r="S27" s="23">
        <v>1</v>
      </c>
      <c r="T27" s="10" t="s">
        <v>114</v>
      </c>
      <c r="U27" s="24" t="s">
        <v>115</v>
      </c>
    </row>
    <row r="28" s="9" customFormat="1" hidden="1" spans="1:21">
      <c r="A28" s="5" t="s">
        <v>50</v>
      </c>
      <c r="B28" s="5">
        <v>10312</v>
      </c>
      <c r="C28" s="5" t="s">
        <v>116</v>
      </c>
      <c r="D28" s="5">
        <v>14</v>
      </c>
      <c r="E28" s="5">
        <v>2</v>
      </c>
      <c r="F28" s="5">
        <v>118</v>
      </c>
      <c r="G28" s="1">
        <v>0</v>
      </c>
      <c r="H28" s="5">
        <v>0</v>
      </c>
      <c r="I28" s="5">
        <v>13</v>
      </c>
      <c r="J28" s="1">
        <v>0</v>
      </c>
      <c r="K28" s="5">
        <v>1</v>
      </c>
      <c r="L28" s="5"/>
      <c r="M28" s="5">
        <v>0</v>
      </c>
      <c r="N28" s="5">
        <v>0</v>
      </c>
      <c r="O28" s="5" t="str">
        <f>VLOOKUP(B28,Sheet2!A:G,7,0)</f>
        <v>{2,35}</v>
      </c>
      <c r="P28" s="5" t="s">
        <v>44</v>
      </c>
      <c r="Q28" s="14" t="s">
        <v>117</v>
      </c>
      <c r="R28" s="10"/>
      <c r="S28" s="23">
        <v>1</v>
      </c>
      <c r="T28" s="10" t="s">
        <v>118</v>
      </c>
      <c r="U28" s="10" t="s">
        <v>119</v>
      </c>
    </row>
    <row r="29" s="9" customFormat="1" hidden="1" spans="1:21">
      <c r="A29" s="5" t="s">
        <v>50</v>
      </c>
      <c r="B29" s="5">
        <v>10313</v>
      </c>
      <c r="C29" s="5" t="s">
        <v>120</v>
      </c>
      <c r="D29" s="5">
        <v>14</v>
      </c>
      <c r="E29" s="5">
        <v>2</v>
      </c>
      <c r="F29" s="5">
        <v>118</v>
      </c>
      <c r="G29" s="1">
        <v>0</v>
      </c>
      <c r="H29" s="5">
        <v>0</v>
      </c>
      <c r="I29" s="5">
        <v>14</v>
      </c>
      <c r="J29" s="1">
        <v>0</v>
      </c>
      <c r="K29" s="5">
        <v>1</v>
      </c>
      <c r="L29" s="5"/>
      <c r="M29" s="5">
        <v>0</v>
      </c>
      <c r="N29" s="5">
        <v>0</v>
      </c>
      <c r="O29" s="5" t="str">
        <f>VLOOKUP(B29,Sheet2!A:G,7,0)</f>
        <v>{2,35}</v>
      </c>
      <c r="P29" s="5" t="s">
        <v>44</v>
      </c>
      <c r="Q29" s="14" t="s">
        <v>121</v>
      </c>
      <c r="R29" s="10"/>
      <c r="S29" s="23">
        <v>1</v>
      </c>
      <c r="T29" s="10" t="s">
        <v>118</v>
      </c>
      <c r="U29" s="10" t="s">
        <v>122</v>
      </c>
    </row>
    <row r="30" s="9" customFormat="1" hidden="1" spans="1:21">
      <c r="A30" s="5" t="s">
        <v>50</v>
      </c>
      <c r="B30" s="5">
        <v>10314</v>
      </c>
      <c r="C30" s="5" t="s">
        <v>123</v>
      </c>
      <c r="D30" s="5">
        <v>14</v>
      </c>
      <c r="E30" s="5">
        <v>2</v>
      </c>
      <c r="F30" s="5">
        <v>118</v>
      </c>
      <c r="G30" s="1">
        <v>0</v>
      </c>
      <c r="H30" s="5">
        <v>0</v>
      </c>
      <c r="I30" s="5">
        <v>15</v>
      </c>
      <c r="J30" s="1">
        <v>0</v>
      </c>
      <c r="K30" s="5">
        <v>1</v>
      </c>
      <c r="L30" s="5"/>
      <c r="M30" s="5">
        <v>0</v>
      </c>
      <c r="N30" s="5">
        <v>0</v>
      </c>
      <c r="O30" s="5" t="str">
        <f>VLOOKUP(B30,Sheet2!A:G,7,0)</f>
        <v>{2,35}</v>
      </c>
      <c r="P30" s="5" t="s">
        <v>44</v>
      </c>
      <c r="Q30" s="14" t="s">
        <v>124</v>
      </c>
      <c r="R30" s="10"/>
      <c r="S30" s="23">
        <v>1</v>
      </c>
      <c r="T30" s="10" t="s">
        <v>125</v>
      </c>
      <c r="U30" s="10" t="s">
        <v>126</v>
      </c>
    </row>
    <row r="31" s="9" customFormat="1" hidden="1" spans="1:21">
      <c r="A31" s="5" t="s">
        <v>50</v>
      </c>
      <c r="B31" s="5">
        <v>10315</v>
      </c>
      <c r="C31" s="5" t="s">
        <v>127</v>
      </c>
      <c r="D31" s="5">
        <v>14</v>
      </c>
      <c r="E31" s="5">
        <v>2</v>
      </c>
      <c r="F31" s="5">
        <v>118</v>
      </c>
      <c r="G31" s="1">
        <v>0</v>
      </c>
      <c r="H31" s="5">
        <v>0</v>
      </c>
      <c r="I31" s="5">
        <v>16</v>
      </c>
      <c r="J31" s="1">
        <v>0</v>
      </c>
      <c r="K31" s="5">
        <v>1</v>
      </c>
      <c r="L31" s="5"/>
      <c r="M31" s="5">
        <v>0</v>
      </c>
      <c r="N31" s="5">
        <v>0</v>
      </c>
      <c r="O31" s="5" t="str">
        <f>VLOOKUP(B31,Sheet2!A:G,7,0)</f>
        <v>{2,35}</v>
      </c>
      <c r="P31" s="5" t="s">
        <v>44</v>
      </c>
      <c r="Q31" s="14" t="s">
        <v>128</v>
      </c>
      <c r="R31" s="10"/>
      <c r="S31" s="23">
        <v>1</v>
      </c>
      <c r="T31" s="10" t="s">
        <v>125</v>
      </c>
      <c r="U31" s="10" t="s">
        <v>129</v>
      </c>
    </row>
    <row r="32" s="9" customFormat="1" hidden="1" spans="1:21">
      <c r="A32" s="5" t="s">
        <v>50</v>
      </c>
      <c r="B32" s="5">
        <v>10316</v>
      </c>
      <c r="C32" s="5" t="s">
        <v>130</v>
      </c>
      <c r="D32" s="5">
        <v>14</v>
      </c>
      <c r="E32" s="5">
        <v>2</v>
      </c>
      <c r="F32" s="5">
        <v>118</v>
      </c>
      <c r="G32" s="1">
        <v>0</v>
      </c>
      <c r="H32" s="5">
        <v>0</v>
      </c>
      <c r="I32" s="5">
        <v>17</v>
      </c>
      <c r="J32" s="1">
        <v>0</v>
      </c>
      <c r="K32" s="5">
        <v>1</v>
      </c>
      <c r="L32" s="5"/>
      <c r="M32" s="5">
        <v>0</v>
      </c>
      <c r="N32" s="5">
        <v>0</v>
      </c>
      <c r="O32" s="5" t="str">
        <f>VLOOKUP(B32,Sheet2!A:G,7,0)</f>
        <v>{2,35}</v>
      </c>
      <c r="P32" s="5" t="s">
        <v>44</v>
      </c>
      <c r="Q32" s="14" t="s">
        <v>131</v>
      </c>
      <c r="R32" s="10"/>
      <c r="S32" s="23">
        <v>1</v>
      </c>
      <c r="T32" s="10" t="s">
        <v>132</v>
      </c>
      <c r="U32" s="10" t="s">
        <v>133</v>
      </c>
    </row>
    <row r="33" s="9" customFormat="1" hidden="1" spans="1:21">
      <c r="A33" s="5" t="s">
        <v>50</v>
      </c>
      <c r="B33" s="5">
        <v>10317</v>
      </c>
      <c r="C33" s="5" t="s">
        <v>134</v>
      </c>
      <c r="D33" s="5">
        <v>14</v>
      </c>
      <c r="E33" s="5">
        <v>2</v>
      </c>
      <c r="F33" s="5">
        <v>118</v>
      </c>
      <c r="G33" s="1">
        <v>0</v>
      </c>
      <c r="H33" s="5">
        <v>0</v>
      </c>
      <c r="I33" s="5">
        <v>18</v>
      </c>
      <c r="J33" s="1">
        <v>0</v>
      </c>
      <c r="K33" s="5">
        <v>1</v>
      </c>
      <c r="L33" s="5"/>
      <c r="M33" s="5">
        <v>0</v>
      </c>
      <c r="N33" s="5">
        <v>0</v>
      </c>
      <c r="O33" s="5" t="str">
        <f>VLOOKUP(B33,Sheet2!A:G,7,0)</f>
        <v>{2,35}</v>
      </c>
      <c r="P33" s="5" t="s">
        <v>44</v>
      </c>
      <c r="Q33" s="14" t="s">
        <v>135</v>
      </c>
      <c r="R33" s="10"/>
      <c r="S33" s="23">
        <v>1</v>
      </c>
      <c r="T33" s="10" t="s">
        <v>136</v>
      </c>
      <c r="U33" s="10" t="s">
        <v>137</v>
      </c>
    </row>
    <row r="34" s="9" customFormat="1" hidden="1" spans="1:21">
      <c r="A34" s="5" t="s">
        <v>50</v>
      </c>
      <c r="B34" s="5">
        <v>10318</v>
      </c>
      <c r="C34" s="5" t="s">
        <v>138</v>
      </c>
      <c r="D34" s="5">
        <v>14</v>
      </c>
      <c r="E34" s="5">
        <v>2</v>
      </c>
      <c r="F34" s="5">
        <v>118</v>
      </c>
      <c r="G34" s="1">
        <v>0</v>
      </c>
      <c r="H34" s="5">
        <v>0</v>
      </c>
      <c r="I34" s="5">
        <v>19</v>
      </c>
      <c r="J34" s="1">
        <v>0</v>
      </c>
      <c r="K34" s="5">
        <v>1</v>
      </c>
      <c r="L34" s="5"/>
      <c r="M34" s="5">
        <v>0</v>
      </c>
      <c r="N34" s="5">
        <v>0</v>
      </c>
      <c r="O34" s="5" t="str">
        <f>VLOOKUP(B34,Sheet2!A:G,7,0)</f>
        <v>{2,35}</v>
      </c>
      <c r="P34" s="5" t="s">
        <v>44</v>
      </c>
      <c r="Q34" s="14" t="s">
        <v>139</v>
      </c>
      <c r="R34" s="10"/>
      <c r="S34" s="23">
        <v>1</v>
      </c>
      <c r="T34" s="10" t="s">
        <v>136</v>
      </c>
      <c r="U34" s="10" t="s">
        <v>140</v>
      </c>
    </row>
    <row r="35" s="9" customFormat="1" hidden="1" spans="1:21">
      <c r="A35" s="5" t="s">
        <v>50</v>
      </c>
      <c r="B35" s="5">
        <v>10319</v>
      </c>
      <c r="C35" s="5" t="s">
        <v>141</v>
      </c>
      <c r="D35" s="5">
        <v>14</v>
      </c>
      <c r="E35" s="5">
        <v>2</v>
      </c>
      <c r="F35" s="5">
        <v>118</v>
      </c>
      <c r="G35" s="1">
        <v>0</v>
      </c>
      <c r="H35" s="5">
        <v>0</v>
      </c>
      <c r="I35" s="5">
        <v>20</v>
      </c>
      <c r="J35" s="1">
        <v>0</v>
      </c>
      <c r="K35" s="5">
        <v>1</v>
      </c>
      <c r="L35" s="5"/>
      <c r="M35" s="5">
        <v>0</v>
      </c>
      <c r="N35" s="5">
        <v>0</v>
      </c>
      <c r="O35" s="5" t="str">
        <f>VLOOKUP(B35,Sheet2!A:G,7,0)</f>
        <v>{2,35}</v>
      </c>
      <c r="P35" s="5" t="s">
        <v>44</v>
      </c>
      <c r="Q35" s="14" t="s">
        <v>142</v>
      </c>
      <c r="R35" s="10"/>
      <c r="S35" s="23">
        <v>1</v>
      </c>
      <c r="T35" s="10" t="s">
        <v>143</v>
      </c>
      <c r="U35" s="10" t="s">
        <v>144</v>
      </c>
    </row>
    <row r="36" s="9" customFormat="1" hidden="1" spans="1:21">
      <c r="A36" s="5" t="s">
        <v>50</v>
      </c>
      <c r="B36" s="5">
        <v>10320</v>
      </c>
      <c r="C36" s="5" t="s">
        <v>145</v>
      </c>
      <c r="D36" s="5">
        <v>14</v>
      </c>
      <c r="E36" s="5">
        <v>2</v>
      </c>
      <c r="F36" s="5">
        <v>118</v>
      </c>
      <c r="G36" s="1">
        <v>0</v>
      </c>
      <c r="H36" s="5">
        <v>0</v>
      </c>
      <c r="I36" s="5">
        <v>21</v>
      </c>
      <c r="J36" s="1">
        <v>0</v>
      </c>
      <c r="K36" s="5">
        <v>1</v>
      </c>
      <c r="L36" s="5"/>
      <c r="M36" s="5">
        <v>0</v>
      </c>
      <c r="N36" s="5">
        <v>0</v>
      </c>
      <c r="O36" s="5" t="str">
        <f>VLOOKUP(B36,Sheet2!A:G,7,0)</f>
        <v>{2,35}</v>
      </c>
      <c r="P36" s="5" t="s">
        <v>44</v>
      </c>
      <c r="Q36" s="14" t="s">
        <v>146</v>
      </c>
      <c r="R36" s="10"/>
      <c r="S36" s="23">
        <v>1</v>
      </c>
      <c r="T36" s="10" t="s">
        <v>143</v>
      </c>
      <c r="U36" s="10" t="s">
        <v>147</v>
      </c>
    </row>
    <row r="37" s="9" customFormat="1" hidden="1" spans="1:21">
      <c r="A37" s="5" t="s">
        <v>50</v>
      </c>
      <c r="B37" s="5">
        <v>10321</v>
      </c>
      <c r="C37" s="5" t="s">
        <v>148</v>
      </c>
      <c r="D37" s="5">
        <v>14</v>
      </c>
      <c r="E37" s="5">
        <v>2</v>
      </c>
      <c r="F37" s="5">
        <v>118</v>
      </c>
      <c r="G37" s="1">
        <v>0</v>
      </c>
      <c r="H37" s="5">
        <v>0</v>
      </c>
      <c r="I37" s="5">
        <v>22</v>
      </c>
      <c r="J37" s="1">
        <v>0</v>
      </c>
      <c r="K37" s="5">
        <v>1</v>
      </c>
      <c r="L37" s="5"/>
      <c r="M37" s="5">
        <v>0</v>
      </c>
      <c r="N37" s="5">
        <v>0</v>
      </c>
      <c r="O37" s="5" t="str">
        <f>VLOOKUP(B37,Sheet2!A:G,7,0)</f>
        <v>{2,35}</v>
      </c>
      <c r="P37" s="5" t="s">
        <v>44</v>
      </c>
      <c r="Q37" s="14" t="s">
        <v>149</v>
      </c>
      <c r="R37" s="10"/>
      <c r="S37" s="23">
        <v>1</v>
      </c>
      <c r="T37" s="10" t="s">
        <v>150</v>
      </c>
      <c r="U37" s="10" t="s">
        <v>151</v>
      </c>
    </row>
    <row r="38" s="9" customFormat="1" hidden="1" spans="1:21">
      <c r="A38" s="5" t="s">
        <v>50</v>
      </c>
      <c r="B38" s="5">
        <v>10322</v>
      </c>
      <c r="C38" s="5" t="s">
        <v>152</v>
      </c>
      <c r="D38" s="5">
        <v>14</v>
      </c>
      <c r="E38" s="5">
        <v>2</v>
      </c>
      <c r="F38" s="5">
        <v>118</v>
      </c>
      <c r="G38" s="1">
        <v>0</v>
      </c>
      <c r="H38" s="5">
        <v>0</v>
      </c>
      <c r="I38" s="5">
        <v>23</v>
      </c>
      <c r="J38" s="1">
        <v>0</v>
      </c>
      <c r="K38" s="5">
        <v>1</v>
      </c>
      <c r="L38" s="5"/>
      <c r="M38" s="5">
        <v>0</v>
      </c>
      <c r="N38" s="5">
        <v>0</v>
      </c>
      <c r="O38" s="5" t="str">
        <f>VLOOKUP(B38,Sheet2!A:G,7,0)</f>
        <v>{2,35}</v>
      </c>
      <c r="P38" s="5" t="s">
        <v>44</v>
      </c>
      <c r="Q38" s="14" t="s">
        <v>153</v>
      </c>
      <c r="R38" s="10"/>
      <c r="S38" s="23">
        <v>1</v>
      </c>
      <c r="T38" s="10" t="s">
        <v>154</v>
      </c>
      <c r="U38" s="10" t="s">
        <v>155</v>
      </c>
    </row>
    <row r="39" s="9" customFormat="1" hidden="1" spans="1:21">
      <c r="A39" s="5" t="s">
        <v>50</v>
      </c>
      <c r="B39" s="5">
        <v>10323</v>
      </c>
      <c r="C39" s="5" t="s">
        <v>156</v>
      </c>
      <c r="D39" s="5">
        <v>14</v>
      </c>
      <c r="E39" s="5">
        <v>2</v>
      </c>
      <c r="F39" s="5">
        <v>118</v>
      </c>
      <c r="G39" s="1">
        <v>0</v>
      </c>
      <c r="H39" s="5">
        <v>0</v>
      </c>
      <c r="I39" s="5">
        <v>24</v>
      </c>
      <c r="J39" s="1">
        <v>0</v>
      </c>
      <c r="K39" s="5">
        <v>1</v>
      </c>
      <c r="L39" s="5"/>
      <c r="M39" s="5">
        <v>0</v>
      </c>
      <c r="N39" s="5">
        <v>0</v>
      </c>
      <c r="O39" s="5" t="str">
        <f>VLOOKUP(B39,Sheet2!A:G,7,0)</f>
        <v>{2,35}</v>
      </c>
      <c r="P39" s="5" t="s">
        <v>44</v>
      </c>
      <c r="Q39" s="14" t="s">
        <v>157</v>
      </c>
      <c r="R39" s="10"/>
      <c r="S39" s="23">
        <v>1</v>
      </c>
      <c r="T39" s="10" t="s">
        <v>154</v>
      </c>
      <c r="U39" s="10" t="s">
        <v>158</v>
      </c>
    </row>
    <row r="40" s="10" customFormat="1" hidden="1" spans="1:21">
      <c r="A40" s="5" t="s">
        <v>50</v>
      </c>
      <c r="B40" s="14">
        <v>10324</v>
      </c>
      <c r="C40" s="14" t="s">
        <v>159</v>
      </c>
      <c r="D40" s="14">
        <v>14</v>
      </c>
      <c r="E40" s="14">
        <v>2</v>
      </c>
      <c r="F40" s="14">
        <v>118</v>
      </c>
      <c r="G40" s="1">
        <v>0</v>
      </c>
      <c r="H40" s="14">
        <v>0</v>
      </c>
      <c r="I40" s="14">
        <v>25</v>
      </c>
      <c r="J40" s="14">
        <v>0</v>
      </c>
      <c r="K40" s="14">
        <v>1</v>
      </c>
      <c r="L40" s="14"/>
      <c r="M40" s="14">
        <v>0</v>
      </c>
      <c r="N40" s="14">
        <v>0</v>
      </c>
      <c r="O40" s="14" t="str">
        <f>VLOOKUP(B40,Sheet2!A:G,7,0)</f>
        <v>{2,35}</v>
      </c>
      <c r="P40" s="14" t="s">
        <v>44</v>
      </c>
      <c r="Q40" s="14" t="s">
        <v>160</v>
      </c>
      <c r="S40" s="23">
        <v>1</v>
      </c>
      <c r="T40" s="10" t="s">
        <v>161</v>
      </c>
      <c r="U40" s="10" t="s">
        <v>162</v>
      </c>
    </row>
    <row r="41" s="10" customFormat="1" hidden="1" spans="1:21">
      <c r="A41" s="5" t="s">
        <v>50</v>
      </c>
      <c r="B41" s="14">
        <v>10325</v>
      </c>
      <c r="C41" s="15" t="s">
        <v>163</v>
      </c>
      <c r="D41" s="14">
        <v>14</v>
      </c>
      <c r="E41" s="14">
        <v>2</v>
      </c>
      <c r="F41" s="14">
        <v>118</v>
      </c>
      <c r="G41" s="1">
        <v>0</v>
      </c>
      <c r="H41" s="14">
        <v>0</v>
      </c>
      <c r="I41" s="14">
        <v>26</v>
      </c>
      <c r="J41" s="14">
        <v>0</v>
      </c>
      <c r="K41" s="14">
        <v>1</v>
      </c>
      <c r="L41" s="14"/>
      <c r="M41" s="14">
        <v>0</v>
      </c>
      <c r="N41" s="14">
        <v>0</v>
      </c>
      <c r="O41" s="14" t="str">
        <f>VLOOKUP(B41,Sheet2!A:G,7,0)</f>
        <v>{2,35}</v>
      </c>
      <c r="P41" s="14" t="s">
        <v>44</v>
      </c>
      <c r="Q41" s="15" t="s">
        <v>164</v>
      </c>
      <c r="S41" s="23">
        <v>1</v>
      </c>
      <c r="T41" s="10" t="s">
        <v>161</v>
      </c>
      <c r="U41" s="10" t="s">
        <v>165</v>
      </c>
    </row>
    <row r="42" s="9" customFormat="1" hidden="1" spans="1:21">
      <c r="A42" s="5" t="s">
        <v>50</v>
      </c>
      <c r="B42" s="5">
        <v>10326</v>
      </c>
      <c r="C42" s="5" t="s">
        <v>166</v>
      </c>
      <c r="D42" s="5">
        <v>14</v>
      </c>
      <c r="E42" s="5">
        <v>2</v>
      </c>
      <c r="F42" s="5">
        <v>118</v>
      </c>
      <c r="G42" s="1">
        <v>0</v>
      </c>
      <c r="H42" s="5">
        <v>0</v>
      </c>
      <c r="I42" s="5">
        <v>27</v>
      </c>
      <c r="J42" s="1">
        <v>0</v>
      </c>
      <c r="K42" s="5">
        <v>1</v>
      </c>
      <c r="L42" s="5"/>
      <c r="M42" s="5">
        <v>0</v>
      </c>
      <c r="N42" s="5">
        <v>0</v>
      </c>
      <c r="O42" s="5" t="str">
        <f>VLOOKUP(B42,Sheet2!A:G,7,0)</f>
        <v>{2,35}</v>
      </c>
      <c r="P42" s="5" t="s">
        <v>44</v>
      </c>
      <c r="Q42" s="14" t="s">
        <v>167</v>
      </c>
      <c r="R42" s="10"/>
      <c r="S42" s="23">
        <v>1</v>
      </c>
      <c r="T42" s="10" t="s">
        <v>168</v>
      </c>
      <c r="U42" s="10" t="s">
        <v>169</v>
      </c>
    </row>
    <row r="43" s="9" customFormat="1" hidden="1" spans="1:22">
      <c r="A43" s="5" t="s">
        <v>50</v>
      </c>
      <c r="B43" s="5">
        <v>10328</v>
      </c>
      <c r="C43" s="5" t="s">
        <v>170</v>
      </c>
      <c r="D43" s="5">
        <v>14</v>
      </c>
      <c r="E43" s="5">
        <v>2</v>
      </c>
      <c r="F43" s="5">
        <v>118</v>
      </c>
      <c r="G43" s="1">
        <v>0</v>
      </c>
      <c r="H43" s="5">
        <v>0</v>
      </c>
      <c r="I43" s="5">
        <v>28</v>
      </c>
      <c r="J43" s="1">
        <v>0</v>
      </c>
      <c r="K43" s="5">
        <v>1</v>
      </c>
      <c r="L43" s="5"/>
      <c r="M43" s="5">
        <v>0</v>
      </c>
      <c r="N43" s="5">
        <v>0</v>
      </c>
      <c r="O43" s="5" t="str">
        <f>VLOOKUP(B43,Sheet2!A:G,7,0)</f>
        <v>{2,35}</v>
      </c>
      <c r="P43" s="5" t="s">
        <v>44</v>
      </c>
      <c r="Q43" s="14" t="s">
        <v>171</v>
      </c>
      <c r="R43" s="10"/>
      <c r="S43" s="23">
        <v>1</v>
      </c>
      <c r="T43" s="10" t="s">
        <v>172</v>
      </c>
      <c r="U43" s="10" t="s">
        <v>173</v>
      </c>
      <c r="V43" s="21"/>
    </row>
    <row r="44" s="9" customFormat="1" hidden="1" spans="1:22">
      <c r="A44" s="5" t="s">
        <v>50</v>
      </c>
      <c r="B44" s="5">
        <v>10329</v>
      </c>
      <c r="C44" s="5" t="s">
        <v>174</v>
      </c>
      <c r="D44" s="5">
        <v>14</v>
      </c>
      <c r="E44" s="5">
        <v>2</v>
      </c>
      <c r="F44" s="5">
        <v>118</v>
      </c>
      <c r="G44" s="1">
        <v>0</v>
      </c>
      <c r="H44" s="5">
        <v>0</v>
      </c>
      <c r="I44" s="5">
        <v>29</v>
      </c>
      <c r="J44" s="1">
        <v>0</v>
      </c>
      <c r="K44" s="5">
        <v>1</v>
      </c>
      <c r="L44" s="5"/>
      <c r="M44" s="5">
        <v>0</v>
      </c>
      <c r="N44" s="5">
        <v>0</v>
      </c>
      <c r="O44" s="5" t="str">
        <f>VLOOKUP(B44,Sheet2!A:G,7,0)</f>
        <v>{2,35}</v>
      </c>
      <c r="P44" s="5" t="s">
        <v>44</v>
      </c>
      <c r="Q44" s="14" t="s">
        <v>175</v>
      </c>
      <c r="R44" s="10"/>
      <c r="S44" s="23">
        <v>1</v>
      </c>
      <c r="T44" s="10" t="s">
        <v>172</v>
      </c>
      <c r="U44" s="10" t="s">
        <v>176</v>
      </c>
      <c r="V44" s="21"/>
    </row>
    <row r="45" s="9" customFormat="1" hidden="1" spans="1:22">
      <c r="A45" s="5" t="s">
        <v>50</v>
      </c>
      <c r="B45" s="5">
        <v>10330</v>
      </c>
      <c r="C45" s="5" t="s">
        <v>177</v>
      </c>
      <c r="D45" s="5">
        <v>14</v>
      </c>
      <c r="E45" s="5">
        <v>2</v>
      </c>
      <c r="F45" s="5">
        <v>118</v>
      </c>
      <c r="G45" s="1">
        <v>0</v>
      </c>
      <c r="H45" s="5">
        <v>0</v>
      </c>
      <c r="I45" s="5">
        <v>30</v>
      </c>
      <c r="J45" s="1">
        <v>0</v>
      </c>
      <c r="K45" s="5">
        <v>1</v>
      </c>
      <c r="L45" s="5"/>
      <c r="M45" s="5">
        <v>0</v>
      </c>
      <c r="N45" s="5">
        <v>0</v>
      </c>
      <c r="O45" s="5" t="str">
        <f>VLOOKUP(B45,Sheet2!A:G,7,0)</f>
        <v>{2,35}</v>
      </c>
      <c r="P45" s="5" t="s">
        <v>44</v>
      </c>
      <c r="Q45" s="14" t="s">
        <v>178</v>
      </c>
      <c r="R45" s="10"/>
      <c r="S45" s="23">
        <v>1</v>
      </c>
      <c r="T45" s="10" t="s">
        <v>179</v>
      </c>
      <c r="U45" s="10" t="s">
        <v>180</v>
      </c>
      <c r="V45" s="21"/>
    </row>
    <row r="46" s="9" customFormat="1" hidden="1" spans="1:22">
      <c r="A46" s="5" t="s">
        <v>50</v>
      </c>
      <c r="B46" s="5">
        <v>10331</v>
      </c>
      <c r="C46" s="5" t="s">
        <v>181</v>
      </c>
      <c r="D46" s="5">
        <v>14</v>
      </c>
      <c r="E46" s="5">
        <v>2</v>
      </c>
      <c r="F46" s="5">
        <v>118</v>
      </c>
      <c r="G46" s="1">
        <v>0</v>
      </c>
      <c r="H46" s="5">
        <v>0</v>
      </c>
      <c r="I46" s="5">
        <v>31</v>
      </c>
      <c r="J46" s="1">
        <v>0</v>
      </c>
      <c r="K46" s="5">
        <v>1</v>
      </c>
      <c r="L46" s="5"/>
      <c r="M46" s="5">
        <v>0</v>
      </c>
      <c r="N46" s="5">
        <v>0</v>
      </c>
      <c r="O46" s="5" t="str">
        <f>VLOOKUP(B46,Sheet2!A:G,7,0)</f>
        <v>{2,35}</v>
      </c>
      <c r="P46" s="5" t="s">
        <v>44</v>
      </c>
      <c r="Q46" s="14" t="s">
        <v>182</v>
      </c>
      <c r="R46" s="10"/>
      <c r="S46" s="23">
        <v>1</v>
      </c>
      <c r="T46" s="10" t="s">
        <v>179</v>
      </c>
      <c r="U46" s="10" t="s">
        <v>183</v>
      </c>
      <c r="V46" s="21"/>
    </row>
    <row r="47" s="9" customFormat="1" hidden="1" spans="1:22">
      <c r="A47" s="5" t="s">
        <v>50</v>
      </c>
      <c r="B47" s="5">
        <v>10332</v>
      </c>
      <c r="C47" s="5" t="s">
        <v>184</v>
      </c>
      <c r="D47" s="5">
        <v>14</v>
      </c>
      <c r="E47" s="5">
        <v>2</v>
      </c>
      <c r="F47" s="5">
        <v>118</v>
      </c>
      <c r="G47" s="1">
        <v>0</v>
      </c>
      <c r="H47" s="5">
        <v>0</v>
      </c>
      <c r="I47" s="5">
        <v>32</v>
      </c>
      <c r="J47" s="1">
        <v>0</v>
      </c>
      <c r="K47" s="5">
        <v>1</v>
      </c>
      <c r="L47" s="5"/>
      <c r="M47" s="5">
        <v>0</v>
      </c>
      <c r="N47" s="5">
        <v>0</v>
      </c>
      <c r="O47" s="5" t="str">
        <f>VLOOKUP(B47,Sheet2!A:G,7,0)</f>
        <v>{2,35}</v>
      </c>
      <c r="P47" s="5" t="s">
        <v>44</v>
      </c>
      <c r="Q47" s="14" t="s">
        <v>185</v>
      </c>
      <c r="R47" s="10"/>
      <c r="S47" s="23">
        <v>1</v>
      </c>
      <c r="T47" s="10" t="s">
        <v>186</v>
      </c>
      <c r="U47" s="10" t="s">
        <v>187</v>
      </c>
      <c r="V47" s="21"/>
    </row>
    <row r="48" s="9" customFormat="1" hidden="1" spans="1:22">
      <c r="A48" s="5" t="s">
        <v>50</v>
      </c>
      <c r="B48" s="5">
        <v>10333</v>
      </c>
      <c r="C48" s="16" t="s">
        <v>188</v>
      </c>
      <c r="D48" s="14">
        <v>14</v>
      </c>
      <c r="E48" s="14">
        <v>2</v>
      </c>
      <c r="F48" s="14">
        <v>118</v>
      </c>
      <c r="G48" s="1">
        <v>0</v>
      </c>
      <c r="H48" s="14">
        <v>0</v>
      </c>
      <c r="I48" s="14">
        <v>33</v>
      </c>
      <c r="J48" s="1">
        <v>0</v>
      </c>
      <c r="K48" s="5">
        <v>1</v>
      </c>
      <c r="L48" s="5"/>
      <c r="M48" s="5">
        <v>0</v>
      </c>
      <c r="N48" s="5">
        <v>0</v>
      </c>
      <c r="O48" s="5" t="str">
        <f>VLOOKUP(B48,Sheet2!A:G,7,0)</f>
        <v>{2,35}</v>
      </c>
      <c r="P48" s="5" t="s">
        <v>44</v>
      </c>
      <c r="Q48" s="16" t="s">
        <v>188</v>
      </c>
      <c r="R48" s="10"/>
      <c r="S48" s="23">
        <v>1</v>
      </c>
      <c r="T48" s="25" t="s">
        <v>189</v>
      </c>
      <c r="U48" s="25" t="s">
        <v>190</v>
      </c>
      <c r="V48" s="21"/>
    </row>
    <row r="49" s="9" customFormat="1" hidden="1" spans="1:22">
      <c r="A49" s="5" t="s">
        <v>50</v>
      </c>
      <c r="B49" s="5">
        <v>10334</v>
      </c>
      <c r="C49" s="16" t="s">
        <v>191</v>
      </c>
      <c r="D49" s="14">
        <v>14</v>
      </c>
      <c r="E49" s="14">
        <v>2</v>
      </c>
      <c r="F49" s="14">
        <v>118</v>
      </c>
      <c r="G49" s="1">
        <v>0</v>
      </c>
      <c r="H49" s="14">
        <v>0</v>
      </c>
      <c r="I49" s="14">
        <v>34</v>
      </c>
      <c r="J49" s="1">
        <v>0</v>
      </c>
      <c r="K49" s="5">
        <v>1</v>
      </c>
      <c r="L49" s="5"/>
      <c r="M49" s="5">
        <v>0</v>
      </c>
      <c r="N49" s="5">
        <v>0</v>
      </c>
      <c r="O49" s="5" t="str">
        <f>VLOOKUP(B49,Sheet2!A:G,7,0)</f>
        <v>{2,35}</v>
      </c>
      <c r="P49" s="5" t="s">
        <v>44</v>
      </c>
      <c r="Q49" s="16" t="s">
        <v>192</v>
      </c>
      <c r="R49" s="10"/>
      <c r="S49" s="23">
        <v>1</v>
      </c>
      <c r="T49" s="25" t="s">
        <v>189</v>
      </c>
      <c r="U49" s="25" t="s">
        <v>193</v>
      </c>
      <c r="V49" s="21"/>
    </row>
    <row r="50" s="9" customFormat="1" hidden="1" spans="1:22">
      <c r="A50" s="5" t="s">
        <v>50</v>
      </c>
      <c r="B50" s="5">
        <v>10335</v>
      </c>
      <c r="C50" s="16" t="s">
        <v>194</v>
      </c>
      <c r="D50" s="14">
        <v>14</v>
      </c>
      <c r="E50" s="14">
        <v>2</v>
      </c>
      <c r="F50" s="14">
        <v>118</v>
      </c>
      <c r="G50" s="1">
        <v>0</v>
      </c>
      <c r="H50" s="14">
        <v>0</v>
      </c>
      <c r="I50" s="14">
        <v>35</v>
      </c>
      <c r="J50" s="1">
        <v>0</v>
      </c>
      <c r="K50" s="5">
        <v>1</v>
      </c>
      <c r="L50" s="5"/>
      <c r="M50" s="5">
        <v>0</v>
      </c>
      <c r="N50" s="5">
        <v>0</v>
      </c>
      <c r="O50" s="5" t="str">
        <f>VLOOKUP(B50,Sheet2!A:G,7,0)</f>
        <v>{2,35}</v>
      </c>
      <c r="P50" s="5" t="s">
        <v>44</v>
      </c>
      <c r="Q50" s="16" t="s">
        <v>194</v>
      </c>
      <c r="R50" s="10"/>
      <c r="S50" s="23">
        <v>1</v>
      </c>
      <c r="T50" s="25" t="s">
        <v>195</v>
      </c>
      <c r="U50" s="25" t="s">
        <v>196</v>
      </c>
      <c r="V50" s="21"/>
    </row>
    <row r="51" s="9" customFormat="1" hidden="1" spans="1:22">
      <c r="A51" s="5" t="s">
        <v>50</v>
      </c>
      <c r="B51" s="5">
        <v>10336</v>
      </c>
      <c r="C51" s="16" t="s">
        <v>197</v>
      </c>
      <c r="D51" s="14">
        <v>14</v>
      </c>
      <c r="E51" s="14">
        <v>2</v>
      </c>
      <c r="F51" s="14">
        <v>118</v>
      </c>
      <c r="G51" s="1">
        <v>0</v>
      </c>
      <c r="H51" s="14">
        <v>0</v>
      </c>
      <c r="I51" s="14">
        <v>36</v>
      </c>
      <c r="J51" s="1">
        <v>0</v>
      </c>
      <c r="K51" s="5">
        <v>1</v>
      </c>
      <c r="L51" s="5"/>
      <c r="M51" s="5">
        <v>0</v>
      </c>
      <c r="N51" s="5">
        <v>0</v>
      </c>
      <c r="O51" s="5" t="str">
        <f>VLOOKUP(B51,Sheet2!A:G,7,0)</f>
        <v>{2,35}</v>
      </c>
      <c r="P51" s="5" t="s">
        <v>44</v>
      </c>
      <c r="Q51" s="16" t="s">
        <v>197</v>
      </c>
      <c r="R51" s="10"/>
      <c r="S51" s="23">
        <v>1</v>
      </c>
      <c r="T51" s="25" t="s">
        <v>198</v>
      </c>
      <c r="U51" s="25" t="s">
        <v>199</v>
      </c>
      <c r="V51" s="21"/>
    </row>
    <row r="52" s="9" customFormat="1" hidden="1" spans="1:22">
      <c r="A52" s="5" t="s">
        <v>50</v>
      </c>
      <c r="B52" s="14">
        <v>10337</v>
      </c>
      <c r="C52" s="16" t="s">
        <v>200</v>
      </c>
      <c r="D52" s="14">
        <v>14</v>
      </c>
      <c r="E52" s="14">
        <v>2</v>
      </c>
      <c r="F52" s="14">
        <v>118</v>
      </c>
      <c r="G52" s="1">
        <v>0</v>
      </c>
      <c r="H52" s="14">
        <v>0</v>
      </c>
      <c r="I52" s="14">
        <v>37</v>
      </c>
      <c r="J52" s="1">
        <v>0</v>
      </c>
      <c r="K52" s="5">
        <v>1</v>
      </c>
      <c r="L52" s="5"/>
      <c r="M52" s="5">
        <v>0</v>
      </c>
      <c r="N52" s="5">
        <v>0</v>
      </c>
      <c r="O52" s="5" t="str">
        <f>VLOOKUP(B52,Sheet2!A:G,7,0)</f>
        <v>{2,35}</v>
      </c>
      <c r="P52" s="5" t="s">
        <v>44</v>
      </c>
      <c r="Q52" s="16" t="s">
        <v>200</v>
      </c>
      <c r="R52" s="10"/>
      <c r="S52" s="23">
        <v>1</v>
      </c>
      <c r="T52" s="25" t="s">
        <v>201</v>
      </c>
      <c r="U52" s="25" t="s">
        <v>202</v>
      </c>
      <c r="V52" s="21"/>
    </row>
    <row r="53" s="9" customFormat="1" hidden="1" spans="1:22">
      <c r="A53" s="5" t="s">
        <v>50</v>
      </c>
      <c r="B53" s="14">
        <v>10338</v>
      </c>
      <c r="C53" s="16" t="s">
        <v>203</v>
      </c>
      <c r="D53" s="14">
        <v>14</v>
      </c>
      <c r="E53" s="14">
        <v>2</v>
      </c>
      <c r="F53" s="14">
        <v>118</v>
      </c>
      <c r="G53" s="1">
        <v>0</v>
      </c>
      <c r="H53" s="14">
        <v>0</v>
      </c>
      <c r="I53" s="14">
        <v>38</v>
      </c>
      <c r="J53" s="1">
        <v>0</v>
      </c>
      <c r="K53" s="5">
        <v>1</v>
      </c>
      <c r="L53" s="5"/>
      <c r="M53" s="5">
        <v>0</v>
      </c>
      <c r="N53" s="5">
        <v>0</v>
      </c>
      <c r="O53" s="5" t="str">
        <f>VLOOKUP(B53,Sheet2!A:G,7,0)</f>
        <v>{2,35}</v>
      </c>
      <c r="P53" s="5" t="s">
        <v>44</v>
      </c>
      <c r="Q53" s="16" t="s">
        <v>203</v>
      </c>
      <c r="R53" s="10"/>
      <c r="S53" s="23">
        <v>1</v>
      </c>
      <c r="T53" s="25" t="s">
        <v>204</v>
      </c>
      <c r="U53" s="25" t="s">
        <v>205</v>
      </c>
      <c r="V53" s="21"/>
    </row>
    <row r="54" s="9" customFormat="1" hidden="1" spans="1:22">
      <c r="A54" s="5" t="s">
        <v>50</v>
      </c>
      <c r="B54" s="14">
        <v>10339</v>
      </c>
      <c r="C54" s="16" t="s">
        <v>206</v>
      </c>
      <c r="D54" s="14">
        <v>14</v>
      </c>
      <c r="E54" s="14">
        <v>2</v>
      </c>
      <c r="F54" s="14">
        <v>118</v>
      </c>
      <c r="G54" s="1">
        <v>0</v>
      </c>
      <c r="H54" s="14">
        <v>0</v>
      </c>
      <c r="I54" s="14">
        <v>39</v>
      </c>
      <c r="J54" s="1">
        <v>0</v>
      </c>
      <c r="K54" s="5">
        <v>1</v>
      </c>
      <c r="L54" s="5"/>
      <c r="M54" s="5">
        <v>0</v>
      </c>
      <c r="N54" s="5">
        <v>0</v>
      </c>
      <c r="O54" s="5" t="str">
        <f>VLOOKUP(B54,Sheet2!A:G,7,0)</f>
        <v>{2,35}</v>
      </c>
      <c r="P54" s="5" t="s">
        <v>44</v>
      </c>
      <c r="Q54" s="16" t="s">
        <v>206</v>
      </c>
      <c r="R54" s="10"/>
      <c r="S54" s="23">
        <v>1</v>
      </c>
      <c r="T54" s="25" t="s">
        <v>204</v>
      </c>
      <c r="U54" s="25" t="s">
        <v>207</v>
      </c>
      <c r="V54" s="21"/>
    </row>
    <row r="55" s="9" customFormat="1" hidden="1" spans="1:22">
      <c r="A55" s="5" t="s">
        <v>50</v>
      </c>
      <c r="B55" s="14">
        <v>10340</v>
      </c>
      <c r="C55" s="16" t="s">
        <v>208</v>
      </c>
      <c r="D55" s="14">
        <v>14</v>
      </c>
      <c r="E55" s="14">
        <v>2</v>
      </c>
      <c r="F55" s="14">
        <v>118</v>
      </c>
      <c r="G55" s="1">
        <v>0</v>
      </c>
      <c r="H55" s="14">
        <v>0</v>
      </c>
      <c r="I55" s="14">
        <v>40</v>
      </c>
      <c r="J55" s="1">
        <v>0</v>
      </c>
      <c r="K55" s="5">
        <v>1</v>
      </c>
      <c r="L55" s="5"/>
      <c r="M55" s="5">
        <v>0</v>
      </c>
      <c r="N55" s="5">
        <v>0</v>
      </c>
      <c r="O55" s="5" t="str">
        <f>VLOOKUP(B55,Sheet2!A:G,7,0)</f>
        <v>{2,35}</v>
      </c>
      <c r="P55" s="5" t="s">
        <v>44</v>
      </c>
      <c r="Q55" s="16" t="s">
        <v>208</v>
      </c>
      <c r="R55" s="10"/>
      <c r="S55" s="23">
        <v>1</v>
      </c>
      <c r="T55" s="25" t="s">
        <v>204</v>
      </c>
      <c r="U55" s="25" t="s">
        <v>209</v>
      </c>
      <c r="V55" s="21"/>
    </row>
    <row r="56" s="9" customFormat="1" hidden="1" spans="1:22">
      <c r="A56" s="5" t="s">
        <v>50</v>
      </c>
      <c r="B56" s="14">
        <v>10341</v>
      </c>
      <c r="C56" s="16" t="s">
        <v>210</v>
      </c>
      <c r="D56" s="14">
        <v>14</v>
      </c>
      <c r="E56" s="14">
        <v>2</v>
      </c>
      <c r="F56" s="14">
        <v>118</v>
      </c>
      <c r="G56" s="1">
        <v>0</v>
      </c>
      <c r="H56" s="14">
        <v>0</v>
      </c>
      <c r="I56" s="14">
        <v>41</v>
      </c>
      <c r="J56" s="1">
        <v>0</v>
      </c>
      <c r="K56" s="5">
        <v>1</v>
      </c>
      <c r="L56" s="5"/>
      <c r="M56" s="5">
        <v>0</v>
      </c>
      <c r="N56" s="5">
        <v>0</v>
      </c>
      <c r="O56" s="5" t="str">
        <f>VLOOKUP(B56,Sheet2!A:G,7,0)</f>
        <v>{2,35}</v>
      </c>
      <c r="P56" s="5" t="s">
        <v>44</v>
      </c>
      <c r="Q56" s="16" t="s">
        <v>210</v>
      </c>
      <c r="R56" s="10"/>
      <c r="S56" s="23">
        <v>1</v>
      </c>
      <c r="T56" s="25" t="s">
        <v>211</v>
      </c>
      <c r="U56" s="25" t="s">
        <v>212</v>
      </c>
      <c r="V56" s="21"/>
    </row>
    <row r="57" s="9" customFormat="1" hidden="1" spans="1:22">
      <c r="A57" s="5" t="s">
        <v>50</v>
      </c>
      <c r="B57" s="14">
        <v>10342</v>
      </c>
      <c r="C57" s="16" t="s">
        <v>213</v>
      </c>
      <c r="D57" s="14">
        <v>14</v>
      </c>
      <c r="E57" s="14">
        <v>2</v>
      </c>
      <c r="F57" s="14">
        <v>118</v>
      </c>
      <c r="G57" s="1">
        <v>0</v>
      </c>
      <c r="H57" s="14">
        <v>0</v>
      </c>
      <c r="I57" s="14">
        <v>42</v>
      </c>
      <c r="J57" s="1">
        <v>0</v>
      </c>
      <c r="K57" s="5">
        <v>1</v>
      </c>
      <c r="L57" s="5"/>
      <c r="M57" s="5">
        <v>0</v>
      </c>
      <c r="N57" s="5">
        <v>0</v>
      </c>
      <c r="O57" s="5" t="str">
        <f>VLOOKUP(B57,Sheet2!A:G,7,0)</f>
        <v>{2,35}</v>
      </c>
      <c r="P57" s="5" t="s">
        <v>44</v>
      </c>
      <c r="Q57" s="16" t="s">
        <v>214</v>
      </c>
      <c r="R57" s="10"/>
      <c r="S57" s="23">
        <v>1</v>
      </c>
      <c r="T57" s="25" t="s">
        <v>215</v>
      </c>
      <c r="U57" s="25" t="s">
        <v>216</v>
      </c>
      <c r="V57" s="21"/>
    </row>
    <row r="58" s="9" customFormat="1" hidden="1" spans="1:22">
      <c r="A58" s="5" t="s">
        <v>50</v>
      </c>
      <c r="B58" s="14">
        <v>10343</v>
      </c>
      <c r="C58" s="16" t="s">
        <v>217</v>
      </c>
      <c r="D58" s="14">
        <v>14</v>
      </c>
      <c r="E58" s="14">
        <v>2</v>
      </c>
      <c r="F58" s="14">
        <v>118</v>
      </c>
      <c r="G58" s="1">
        <v>0</v>
      </c>
      <c r="H58" s="14">
        <v>0</v>
      </c>
      <c r="I58" s="14">
        <v>43</v>
      </c>
      <c r="J58" s="1">
        <v>0</v>
      </c>
      <c r="K58" s="5">
        <v>1</v>
      </c>
      <c r="L58" s="5"/>
      <c r="M58" s="5">
        <v>0</v>
      </c>
      <c r="N58" s="5">
        <v>0</v>
      </c>
      <c r="O58" s="5" t="str">
        <f>VLOOKUP(B58,Sheet2!A:G,7,0)</f>
        <v>{2,35}</v>
      </c>
      <c r="P58" s="5" t="s">
        <v>44</v>
      </c>
      <c r="Q58" s="16" t="s">
        <v>217</v>
      </c>
      <c r="R58" s="10"/>
      <c r="S58" s="23">
        <v>1</v>
      </c>
      <c r="T58" s="25" t="s">
        <v>215</v>
      </c>
      <c r="U58" s="26" t="s">
        <v>218</v>
      </c>
      <c r="V58" s="21"/>
    </row>
    <row r="59" s="9" customFormat="1" hidden="1" spans="1:22">
      <c r="A59" s="5" t="s">
        <v>50</v>
      </c>
      <c r="B59" s="14">
        <v>10344</v>
      </c>
      <c r="C59" s="16" t="s">
        <v>219</v>
      </c>
      <c r="D59" s="14">
        <v>14</v>
      </c>
      <c r="E59" s="14">
        <v>2</v>
      </c>
      <c r="F59" s="14">
        <v>118</v>
      </c>
      <c r="G59" s="1">
        <v>0</v>
      </c>
      <c r="H59" s="14">
        <v>0</v>
      </c>
      <c r="I59" s="14">
        <v>44</v>
      </c>
      <c r="J59" s="1">
        <v>0</v>
      </c>
      <c r="K59" s="5">
        <v>1</v>
      </c>
      <c r="L59" s="5"/>
      <c r="M59" s="5">
        <v>0</v>
      </c>
      <c r="N59" s="5">
        <v>0</v>
      </c>
      <c r="O59" s="5" t="str">
        <f>VLOOKUP(B59,Sheet2!A:G,7,0)</f>
        <v>{2,35}</v>
      </c>
      <c r="P59" s="5" t="s">
        <v>44</v>
      </c>
      <c r="Q59" s="16" t="s">
        <v>219</v>
      </c>
      <c r="R59" s="10"/>
      <c r="S59" s="23">
        <v>1</v>
      </c>
      <c r="T59" s="25" t="s">
        <v>220</v>
      </c>
      <c r="U59" s="26" t="s">
        <v>221</v>
      </c>
      <c r="V59" s="21"/>
    </row>
    <row r="60" s="9" customFormat="1" hidden="1" spans="1:22">
      <c r="A60" s="5" t="s">
        <v>50</v>
      </c>
      <c r="B60" s="14">
        <v>10345</v>
      </c>
      <c r="C60" s="16" t="s">
        <v>222</v>
      </c>
      <c r="D60" s="14">
        <v>14</v>
      </c>
      <c r="E60" s="14">
        <v>2</v>
      </c>
      <c r="F60" s="14">
        <v>118</v>
      </c>
      <c r="G60" s="1">
        <v>0</v>
      </c>
      <c r="H60" s="14">
        <v>0</v>
      </c>
      <c r="I60" s="14">
        <v>45</v>
      </c>
      <c r="J60" s="1">
        <v>0</v>
      </c>
      <c r="K60" s="5">
        <v>1</v>
      </c>
      <c r="L60" s="5"/>
      <c r="M60" s="5">
        <v>0</v>
      </c>
      <c r="N60" s="5">
        <v>0</v>
      </c>
      <c r="O60" s="5" t="str">
        <f>VLOOKUP(B60,Sheet2!A:G,7,0)</f>
        <v>{2,35}</v>
      </c>
      <c r="P60" s="5" t="s">
        <v>44</v>
      </c>
      <c r="Q60" s="16" t="s">
        <v>222</v>
      </c>
      <c r="R60" s="10"/>
      <c r="S60" s="23">
        <v>1</v>
      </c>
      <c r="T60" s="25" t="s">
        <v>223</v>
      </c>
      <c r="U60" s="26" t="s">
        <v>224</v>
      </c>
      <c r="V60" s="21"/>
    </row>
    <row r="61" s="9" customFormat="1" hidden="1" spans="1:22">
      <c r="A61" s="5" t="s">
        <v>50</v>
      </c>
      <c r="B61" s="14">
        <v>10346</v>
      </c>
      <c r="C61" s="16" t="s">
        <v>225</v>
      </c>
      <c r="D61" s="14">
        <v>14</v>
      </c>
      <c r="E61" s="14">
        <v>2</v>
      </c>
      <c r="F61" s="14">
        <v>118</v>
      </c>
      <c r="G61" s="1">
        <v>0</v>
      </c>
      <c r="H61" s="14">
        <v>0</v>
      </c>
      <c r="I61" s="14">
        <v>46</v>
      </c>
      <c r="J61" s="1">
        <v>0</v>
      </c>
      <c r="K61" s="5">
        <v>1</v>
      </c>
      <c r="L61" s="5"/>
      <c r="M61" s="5">
        <v>0</v>
      </c>
      <c r="N61" s="5">
        <v>0</v>
      </c>
      <c r="O61" s="5" t="str">
        <f>VLOOKUP(B61,Sheet2!A:G,7,0)</f>
        <v>{2,35}</v>
      </c>
      <c r="P61" s="5" t="s">
        <v>44</v>
      </c>
      <c r="Q61" s="16" t="s">
        <v>225</v>
      </c>
      <c r="R61" s="10"/>
      <c r="S61" s="23">
        <v>1</v>
      </c>
      <c r="T61" s="25" t="s">
        <v>226</v>
      </c>
      <c r="U61" s="26" t="s">
        <v>227</v>
      </c>
      <c r="V61" s="21"/>
    </row>
    <row r="62" s="9" customFormat="1" hidden="1" spans="1:22">
      <c r="A62" s="5" t="s">
        <v>50</v>
      </c>
      <c r="B62" s="14">
        <v>10347</v>
      </c>
      <c r="C62" s="16" t="s">
        <v>228</v>
      </c>
      <c r="D62" s="14">
        <v>14</v>
      </c>
      <c r="E62" s="14">
        <v>2</v>
      </c>
      <c r="F62" s="14">
        <v>118</v>
      </c>
      <c r="G62" s="1">
        <v>0</v>
      </c>
      <c r="H62" s="14">
        <v>0</v>
      </c>
      <c r="I62" s="14">
        <v>47</v>
      </c>
      <c r="J62" s="1">
        <v>0</v>
      </c>
      <c r="K62" s="5">
        <v>1</v>
      </c>
      <c r="L62" s="5"/>
      <c r="M62" s="5">
        <v>0</v>
      </c>
      <c r="N62" s="5">
        <v>0</v>
      </c>
      <c r="O62" s="5" t="str">
        <f>VLOOKUP(B62,Sheet2!A:G,7,0)</f>
        <v>{2,35}</v>
      </c>
      <c r="P62" s="5" t="s">
        <v>44</v>
      </c>
      <c r="Q62" s="16" t="s">
        <v>228</v>
      </c>
      <c r="R62" s="10"/>
      <c r="S62" s="23">
        <v>1</v>
      </c>
      <c r="T62" s="25" t="s">
        <v>226</v>
      </c>
      <c r="U62" s="26" t="s">
        <v>229</v>
      </c>
      <c r="V62" s="21"/>
    </row>
    <row r="63" s="9" customFormat="1" hidden="1" spans="1:22">
      <c r="A63" s="5" t="s">
        <v>50</v>
      </c>
      <c r="B63" s="14">
        <v>10348</v>
      </c>
      <c r="C63" s="16" t="s">
        <v>230</v>
      </c>
      <c r="D63" s="14">
        <v>14</v>
      </c>
      <c r="E63" s="14">
        <v>2</v>
      </c>
      <c r="F63" s="14">
        <v>118</v>
      </c>
      <c r="G63" s="1">
        <v>0</v>
      </c>
      <c r="H63" s="14">
        <v>0</v>
      </c>
      <c r="I63" s="14">
        <v>48</v>
      </c>
      <c r="J63" s="1">
        <v>0</v>
      </c>
      <c r="K63" s="5">
        <v>1</v>
      </c>
      <c r="L63" s="5"/>
      <c r="M63" s="5">
        <v>0</v>
      </c>
      <c r="N63" s="5">
        <v>0</v>
      </c>
      <c r="O63" s="5" t="str">
        <f>VLOOKUP(B63,Sheet2!A:G,7,0)</f>
        <v>{2,35}</v>
      </c>
      <c r="P63" s="5" t="s">
        <v>44</v>
      </c>
      <c r="Q63" s="16" t="s">
        <v>230</v>
      </c>
      <c r="R63" s="10"/>
      <c r="S63" s="23">
        <v>1</v>
      </c>
      <c r="T63" s="25" t="s">
        <v>231</v>
      </c>
      <c r="U63" s="26" t="s">
        <v>232</v>
      </c>
      <c r="V63" s="21"/>
    </row>
    <row r="64" s="9" customFormat="1" hidden="1" spans="1:22">
      <c r="A64" s="5" t="s">
        <v>50</v>
      </c>
      <c r="B64" s="14">
        <v>10349</v>
      </c>
      <c r="C64" s="16" t="s">
        <v>233</v>
      </c>
      <c r="D64" s="14">
        <v>14</v>
      </c>
      <c r="E64" s="14">
        <v>2</v>
      </c>
      <c r="F64" s="14">
        <v>118</v>
      </c>
      <c r="G64" s="1">
        <v>0</v>
      </c>
      <c r="H64" s="14">
        <v>0</v>
      </c>
      <c r="I64" s="14">
        <v>49</v>
      </c>
      <c r="J64" s="1">
        <v>0</v>
      </c>
      <c r="K64" s="5">
        <v>1</v>
      </c>
      <c r="L64" s="5"/>
      <c r="M64" s="5">
        <v>0</v>
      </c>
      <c r="N64" s="5">
        <v>0</v>
      </c>
      <c r="O64" s="5" t="str">
        <f>VLOOKUP(B64,Sheet2!A:G,7,0)</f>
        <v>{2,35}</v>
      </c>
      <c r="P64" s="5" t="s">
        <v>44</v>
      </c>
      <c r="Q64" s="16" t="s">
        <v>233</v>
      </c>
      <c r="R64" s="10"/>
      <c r="S64" s="23">
        <v>1</v>
      </c>
      <c r="T64" s="25" t="s">
        <v>231</v>
      </c>
      <c r="U64" s="26" t="s">
        <v>234</v>
      </c>
      <c r="V64" s="21"/>
    </row>
    <row r="65" s="9" customFormat="1" hidden="1" spans="1:22">
      <c r="A65" s="5" t="s">
        <v>50</v>
      </c>
      <c r="B65" s="14">
        <v>10350</v>
      </c>
      <c r="C65" s="16" t="s">
        <v>235</v>
      </c>
      <c r="D65" s="14">
        <v>14</v>
      </c>
      <c r="E65" s="14">
        <v>2</v>
      </c>
      <c r="F65" s="14">
        <v>118</v>
      </c>
      <c r="G65" s="1">
        <v>0</v>
      </c>
      <c r="H65" s="14">
        <v>0</v>
      </c>
      <c r="I65" s="14">
        <v>50</v>
      </c>
      <c r="J65" s="1">
        <v>0</v>
      </c>
      <c r="K65" s="5">
        <v>1</v>
      </c>
      <c r="L65" s="5"/>
      <c r="M65" s="5">
        <v>0</v>
      </c>
      <c r="N65" s="5">
        <v>0</v>
      </c>
      <c r="O65" s="5" t="str">
        <f>VLOOKUP(B65,Sheet2!A:G,7,0)</f>
        <v>{2,35}</v>
      </c>
      <c r="P65" s="5" t="s">
        <v>44</v>
      </c>
      <c r="Q65" s="16" t="s">
        <v>235</v>
      </c>
      <c r="R65" s="10"/>
      <c r="S65" s="23">
        <v>1</v>
      </c>
      <c r="T65" s="25" t="s">
        <v>236</v>
      </c>
      <c r="U65" s="26" t="s">
        <v>237</v>
      </c>
      <c r="V65" s="21"/>
    </row>
    <row r="66" s="9" customFormat="1" hidden="1" spans="1:22">
      <c r="A66" s="5" t="s">
        <v>50</v>
      </c>
      <c r="B66" s="14">
        <v>10351</v>
      </c>
      <c r="C66" s="16" t="s">
        <v>238</v>
      </c>
      <c r="D66" s="14">
        <v>14</v>
      </c>
      <c r="E66" s="14">
        <v>2</v>
      </c>
      <c r="F66" s="14">
        <v>118</v>
      </c>
      <c r="G66" s="1">
        <v>0</v>
      </c>
      <c r="H66" s="14">
        <v>0</v>
      </c>
      <c r="I66" s="14">
        <v>51</v>
      </c>
      <c r="J66" s="1">
        <v>0</v>
      </c>
      <c r="K66" s="5">
        <v>1</v>
      </c>
      <c r="L66" s="5"/>
      <c r="M66" s="5">
        <v>0</v>
      </c>
      <c r="N66" s="5">
        <v>0</v>
      </c>
      <c r="O66" s="5" t="str">
        <f>VLOOKUP(B66,Sheet2!A:G,7,0)</f>
        <v>{2,35}</v>
      </c>
      <c r="P66" s="5" t="s">
        <v>44</v>
      </c>
      <c r="Q66" s="16" t="s">
        <v>238</v>
      </c>
      <c r="R66" s="10"/>
      <c r="S66" s="23">
        <v>1</v>
      </c>
      <c r="T66" s="25" t="s">
        <v>239</v>
      </c>
      <c r="U66" s="26" t="s">
        <v>240</v>
      </c>
      <c r="V66" s="21"/>
    </row>
    <row r="67" s="9" customFormat="1" hidden="1" spans="1:22">
      <c r="A67" s="5" t="s">
        <v>50</v>
      </c>
      <c r="B67" s="14">
        <v>10352</v>
      </c>
      <c r="C67" s="16" t="s">
        <v>241</v>
      </c>
      <c r="D67" s="14">
        <v>14</v>
      </c>
      <c r="E67" s="14">
        <v>2</v>
      </c>
      <c r="F67" s="14">
        <v>118</v>
      </c>
      <c r="G67" s="1">
        <v>0</v>
      </c>
      <c r="H67" s="14">
        <v>0</v>
      </c>
      <c r="I67" s="14">
        <v>52</v>
      </c>
      <c r="J67" s="1">
        <v>0</v>
      </c>
      <c r="K67" s="5">
        <v>1</v>
      </c>
      <c r="L67" s="5"/>
      <c r="M67" s="5">
        <v>0</v>
      </c>
      <c r="N67" s="5">
        <v>0</v>
      </c>
      <c r="O67" s="5" t="str">
        <f>VLOOKUP(B67,Sheet2!A:G,7,0)</f>
        <v>{2,35}</v>
      </c>
      <c r="P67" s="5" t="s">
        <v>44</v>
      </c>
      <c r="Q67" s="16" t="s">
        <v>241</v>
      </c>
      <c r="R67" s="10"/>
      <c r="S67" s="23">
        <v>1</v>
      </c>
      <c r="T67" s="25" t="s">
        <v>242</v>
      </c>
      <c r="U67" s="25" t="s">
        <v>243</v>
      </c>
      <c r="V67" s="21"/>
    </row>
    <row r="68" s="9" customFormat="1" hidden="1" spans="1:22">
      <c r="A68" s="5" t="s">
        <v>50</v>
      </c>
      <c r="B68" s="14">
        <v>10353</v>
      </c>
      <c r="C68" s="16" t="s">
        <v>244</v>
      </c>
      <c r="D68" s="14">
        <v>14</v>
      </c>
      <c r="E68" s="14">
        <v>2</v>
      </c>
      <c r="F68" s="14">
        <v>118</v>
      </c>
      <c r="G68" s="1">
        <v>0</v>
      </c>
      <c r="H68" s="14">
        <v>0</v>
      </c>
      <c r="I68" s="14">
        <v>53</v>
      </c>
      <c r="J68" s="1">
        <v>0</v>
      </c>
      <c r="K68" s="5">
        <v>1</v>
      </c>
      <c r="L68" s="5"/>
      <c r="M68" s="5">
        <v>0</v>
      </c>
      <c r="N68" s="5">
        <v>0</v>
      </c>
      <c r="O68" s="5" t="str">
        <f>VLOOKUP(B68,Sheet2!A:G,7,0)</f>
        <v>{2,35}</v>
      </c>
      <c r="P68" s="5" t="s">
        <v>44</v>
      </c>
      <c r="Q68" s="16" t="s">
        <v>244</v>
      </c>
      <c r="R68" s="10"/>
      <c r="S68" s="23">
        <v>1</v>
      </c>
      <c r="T68" s="25" t="s">
        <v>245</v>
      </c>
      <c r="U68" s="25" t="s">
        <v>246</v>
      </c>
      <c r="V68" s="21"/>
    </row>
    <row r="69" s="9" customFormat="1" hidden="1" spans="1:22">
      <c r="A69" s="5" t="s">
        <v>50</v>
      </c>
      <c r="B69" s="14">
        <v>10354</v>
      </c>
      <c r="C69" s="16" t="s">
        <v>247</v>
      </c>
      <c r="D69" s="14">
        <v>14</v>
      </c>
      <c r="E69" s="14">
        <v>2</v>
      </c>
      <c r="F69" s="14">
        <v>118</v>
      </c>
      <c r="G69" s="1">
        <v>0</v>
      </c>
      <c r="H69" s="14">
        <v>0</v>
      </c>
      <c r="I69" s="14">
        <v>54</v>
      </c>
      <c r="J69" s="1">
        <v>0</v>
      </c>
      <c r="K69" s="5">
        <v>1</v>
      </c>
      <c r="L69" s="5"/>
      <c r="M69" s="5">
        <v>0</v>
      </c>
      <c r="N69" s="5">
        <v>0</v>
      </c>
      <c r="O69" s="5" t="s">
        <v>248</v>
      </c>
      <c r="P69" s="5" t="s">
        <v>44</v>
      </c>
      <c r="Q69" s="16" t="s">
        <v>247</v>
      </c>
      <c r="R69" s="10"/>
      <c r="S69" s="23">
        <v>1</v>
      </c>
      <c r="T69" s="25" t="s">
        <v>249</v>
      </c>
      <c r="U69" s="25" t="s">
        <v>250</v>
      </c>
      <c r="V69" s="21"/>
    </row>
    <row r="70" s="9" customFormat="1" hidden="1" spans="1:22">
      <c r="A70" s="5" t="s">
        <v>50</v>
      </c>
      <c r="B70" s="14">
        <v>10355</v>
      </c>
      <c r="C70" s="16" t="s">
        <v>251</v>
      </c>
      <c r="D70" s="14">
        <v>14</v>
      </c>
      <c r="E70" s="14">
        <v>2</v>
      </c>
      <c r="F70" s="14">
        <v>118</v>
      </c>
      <c r="G70" s="1">
        <v>0</v>
      </c>
      <c r="H70" s="14">
        <v>0</v>
      </c>
      <c r="I70" s="14">
        <v>55</v>
      </c>
      <c r="J70" s="1">
        <v>0</v>
      </c>
      <c r="K70" s="5">
        <v>1</v>
      </c>
      <c r="L70" s="5"/>
      <c r="M70" s="5">
        <v>0</v>
      </c>
      <c r="N70" s="5">
        <v>0</v>
      </c>
      <c r="O70" s="5" t="s">
        <v>248</v>
      </c>
      <c r="P70" s="5" t="s">
        <v>44</v>
      </c>
      <c r="Q70" s="16" t="s">
        <v>251</v>
      </c>
      <c r="R70" s="10"/>
      <c r="S70" s="23">
        <v>1</v>
      </c>
      <c r="T70" s="25" t="s">
        <v>252</v>
      </c>
      <c r="U70" s="25" t="s">
        <v>253</v>
      </c>
      <c r="V70" s="21"/>
    </row>
    <row r="71" s="9" customFormat="1" hidden="1" spans="1:22">
      <c r="A71" s="5" t="s">
        <v>50</v>
      </c>
      <c r="B71" s="14">
        <v>10356</v>
      </c>
      <c r="C71" s="16" t="s">
        <v>254</v>
      </c>
      <c r="D71" s="14">
        <v>14</v>
      </c>
      <c r="E71" s="14">
        <v>2</v>
      </c>
      <c r="F71" s="14">
        <v>118</v>
      </c>
      <c r="G71" s="1">
        <v>0</v>
      </c>
      <c r="H71" s="14">
        <v>0</v>
      </c>
      <c r="I71" s="14">
        <v>56</v>
      </c>
      <c r="J71" s="1">
        <v>0</v>
      </c>
      <c r="K71" s="5">
        <v>1</v>
      </c>
      <c r="L71" s="5"/>
      <c r="M71" s="5">
        <v>0</v>
      </c>
      <c r="N71" s="5">
        <v>0</v>
      </c>
      <c r="O71" s="5" t="s">
        <v>248</v>
      </c>
      <c r="P71" s="5" t="s">
        <v>44</v>
      </c>
      <c r="Q71" s="16" t="s">
        <v>254</v>
      </c>
      <c r="R71" s="10"/>
      <c r="S71" s="23">
        <v>1</v>
      </c>
      <c r="T71" s="25" t="s">
        <v>255</v>
      </c>
      <c r="U71" s="25" t="s">
        <v>256</v>
      </c>
      <c r="V71" s="21"/>
    </row>
    <row r="72" s="10" customFormat="1" hidden="1" spans="1:21">
      <c r="A72" s="5" t="s">
        <v>50</v>
      </c>
      <c r="B72" s="14">
        <v>10357</v>
      </c>
      <c r="C72" s="14" t="s">
        <v>257</v>
      </c>
      <c r="D72" s="14">
        <v>14</v>
      </c>
      <c r="E72" s="14">
        <v>2</v>
      </c>
      <c r="F72" s="14">
        <v>118</v>
      </c>
      <c r="G72" s="1">
        <v>0</v>
      </c>
      <c r="H72" s="14">
        <v>0</v>
      </c>
      <c r="I72" s="14">
        <v>57</v>
      </c>
      <c r="J72" s="14">
        <v>0</v>
      </c>
      <c r="K72" s="14">
        <v>1</v>
      </c>
      <c r="L72" s="14"/>
      <c r="M72" s="14">
        <v>0</v>
      </c>
      <c r="N72" s="14">
        <v>0</v>
      </c>
      <c r="O72" s="14" t="s">
        <v>248</v>
      </c>
      <c r="P72" s="14" t="s">
        <v>44</v>
      </c>
      <c r="Q72" s="14" t="s">
        <v>257</v>
      </c>
      <c r="S72" s="23">
        <v>1</v>
      </c>
      <c r="T72" s="10" t="s">
        <v>258</v>
      </c>
      <c r="U72" s="10" t="s">
        <v>259</v>
      </c>
    </row>
    <row r="73" s="10" customFormat="1" hidden="1" spans="1:21">
      <c r="A73" s="5" t="s">
        <v>50</v>
      </c>
      <c r="B73" s="14">
        <v>10358</v>
      </c>
      <c r="C73" s="14" t="s">
        <v>260</v>
      </c>
      <c r="D73" s="14">
        <v>14</v>
      </c>
      <c r="E73" s="14">
        <v>2</v>
      </c>
      <c r="F73" s="14">
        <v>118</v>
      </c>
      <c r="G73" s="1">
        <v>0</v>
      </c>
      <c r="H73" s="14">
        <v>0</v>
      </c>
      <c r="I73" s="14">
        <v>58</v>
      </c>
      <c r="J73" s="14">
        <v>0</v>
      </c>
      <c r="K73" s="14">
        <v>1</v>
      </c>
      <c r="L73" s="14"/>
      <c r="M73" s="14">
        <v>0</v>
      </c>
      <c r="N73" s="14">
        <v>0</v>
      </c>
      <c r="O73" s="14" t="s">
        <v>248</v>
      </c>
      <c r="P73" s="14" t="s">
        <v>44</v>
      </c>
      <c r="Q73" s="14" t="s">
        <v>260</v>
      </c>
      <c r="S73" s="23">
        <v>1</v>
      </c>
      <c r="T73" s="10" t="s">
        <v>261</v>
      </c>
      <c r="U73" s="10" t="s">
        <v>262</v>
      </c>
    </row>
    <row r="74" s="10" customFormat="1" hidden="1" spans="1:21">
      <c r="A74" s="5" t="s">
        <v>50</v>
      </c>
      <c r="B74" s="14">
        <v>10359</v>
      </c>
      <c r="C74" s="14" t="s">
        <v>263</v>
      </c>
      <c r="D74" s="14">
        <v>14</v>
      </c>
      <c r="E74" s="14">
        <v>2</v>
      </c>
      <c r="F74" s="14">
        <v>118</v>
      </c>
      <c r="G74" s="1">
        <v>0</v>
      </c>
      <c r="H74" s="14">
        <v>0</v>
      </c>
      <c r="I74" s="14">
        <v>59</v>
      </c>
      <c r="J74" s="14">
        <v>0</v>
      </c>
      <c r="K74" s="14">
        <v>1</v>
      </c>
      <c r="L74" s="14"/>
      <c r="M74" s="14">
        <v>0</v>
      </c>
      <c r="N74" s="14">
        <v>0</v>
      </c>
      <c r="O74" s="14" t="s">
        <v>248</v>
      </c>
      <c r="P74" s="14" t="s">
        <v>44</v>
      </c>
      <c r="Q74" s="14" t="s">
        <v>263</v>
      </c>
      <c r="S74" s="23">
        <v>1</v>
      </c>
      <c r="T74" s="10" t="s">
        <v>264</v>
      </c>
      <c r="U74" s="10" t="s">
        <v>265</v>
      </c>
    </row>
    <row r="75" s="10" customFormat="1" hidden="1" spans="1:21">
      <c r="A75" s="5" t="s">
        <v>50</v>
      </c>
      <c r="B75" s="14">
        <v>10360</v>
      </c>
      <c r="C75" s="14" t="s">
        <v>266</v>
      </c>
      <c r="D75" s="14">
        <v>14</v>
      </c>
      <c r="E75" s="14">
        <v>2</v>
      </c>
      <c r="F75" s="14">
        <v>118</v>
      </c>
      <c r="G75" s="1">
        <v>0</v>
      </c>
      <c r="H75" s="14">
        <v>0</v>
      </c>
      <c r="I75" s="14">
        <v>60</v>
      </c>
      <c r="J75" s="14">
        <v>0</v>
      </c>
      <c r="K75" s="14">
        <v>1</v>
      </c>
      <c r="L75" s="14"/>
      <c r="M75" s="14">
        <v>0</v>
      </c>
      <c r="N75" s="14">
        <v>0</v>
      </c>
      <c r="O75" s="14" t="s">
        <v>248</v>
      </c>
      <c r="P75" s="14" t="s">
        <v>44</v>
      </c>
      <c r="Q75" s="14" t="s">
        <v>266</v>
      </c>
      <c r="S75" s="23">
        <v>1</v>
      </c>
      <c r="T75" s="10" t="s">
        <v>267</v>
      </c>
      <c r="U75" s="10" t="s">
        <v>268</v>
      </c>
    </row>
    <row r="76" s="10" customFormat="1" hidden="1" spans="1:21">
      <c r="A76" s="5" t="s">
        <v>50</v>
      </c>
      <c r="B76" s="14">
        <v>10361</v>
      </c>
      <c r="C76" s="14" t="s">
        <v>269</v>
      </c>
      <c r="D76" s="14">
        <v>14</v>
      </c>
      <c r="E76" s="14">
        <v>2</v>
      </c>
      <c r="F76" s="14">
        <v>118</v>
      </c>
      <c r="G76" s="1">
        <v>0</v>
      </c>
      <c r="H76" s="14">
        <v>0</v>
      </c>
      <c r="I76" s="14">
        <v>61</v>
      </c>
      <c r="J76" s="14">
        <v>0</v>
      </c>
      <c r="K76" s="14">
        <v>1</v>
      </c>
      <c r="L76" s="14"/>
      <c r="M76" s="14">
        <v>0</v>
      </c>
      <c r="N76" s="14">
        <v>0</v>
      </c>
      <c r="O76" s="14" t="s">
        <v>248</v>
      </c>
      <c r="P76" s="14" t="s">
        <v>44</v>
      </c>
      <c r="Q76" s="14" t="s">
        <v>269</v>
      </c>
      <c r="S76" s="23">
        <v>1</v>
      </c>
      <c r="T76" s="10" t="s">
        <v>270</v>
      </c>
      <c r="U76" s="10" t="s">
        <v>271</v>
      </c>
    </row>
    <row r="77" s="10" customFormat="1" hidden="1" spans="1:21">
      <c r="A77" s="5" t="s">
        <v>50</v>
      </c>
      <c r="B77" s="14">
        <v>10362</v>
      </c>
      <c r="C77" s="14" t="s">
        <v>272</v>
      </c>
      <c r="D77" s="14">
        <v>14</v>
      </c>
      <c r="E77" s="14">
        <v>2</v>
      </c>
      <c r="F77" s="14">
        <v>118</v>
      </c>
      <c r="G77" s="1">
        <v>0</v>
      </c>
      <c r="H77" s="14">
        <v>0</v>
      </c>
      <c r="I77" s="14">
        <v>62</v>
      </c>
      <c r="J77" s="14">
        <v>0</v>
      </c>
      <c r="K77" s="14">
        <v>1</v>
      </c>
      <c r="L77" s="14"/>
      <c r="M77" s="14">
        <v>0</v>
      </c>
      <c r="N77" s="14">
        <v>0</v>
      </c>
      <c r="O77" s="14" t="s">
        <v>248</v>
      </c>
      <c r="P77" s="14" t="s">
        <v>44</v>
      </c>
      <c r="Q77" s="14" t="s">
        <v>272</v>
      </c>
      <c r="S77" s="23">
        <v>1</v>
      </c>
      <c r="T77" s="10" t="s">
        <v>273</v>
      </c>
      <c r="U77" s="10" t="s">
        <v>274</v>
      </c>
    </row>
    <row r="78" s="10" customFormat="1" hidden="1" spans="1:21">
      <c r="A78" s="5" t="s">
        <v>50</v>
      </c>
      <c r="B78" s="14">
        <v>10363</v>
      </c>
      <c r="C78" s="14" t="s">
        <v>275</v>
      </c>
      <c r="D78" s="14">
        <v>14</v>
      </c>
      <c r="E78" s="14">
        <v>2</v>
      </c>
      <c r="F78" s="14">
        <v>118</v>
      </c>
      <c r="G78" s="1">
        <v>0</v>
      </c>
      <c r="H78" s="14">
        <v>0</v>
      </c>
      <c r="I78" s="14">
        <v>63</v>
      </c>
      <c r="J78" s="14">
        <v>0</v>
      </c>
      <c r="K78" s="14">
        <v>1</v>
      </c>
      <c r="L78" s="14"/>
      <c r="M78" s="14">
        <v>0</v>
      </c>
      <c r="N78" s="14">
        <v>0</v>
      </c>
      <c r="O78" s="14" t="s">
        <v>248</v>
      </c>
      <c r="P78" s="14" t="s">
        <v>44</v>
      </c>
      <c r="Q78" s="14" t="s">
        <v>275</v>
      </c>
      <c r="S78" s="23">
        <v>1</v>
      </c>
      <c r="T78" s="10" t="s">
        <v>276</v>
      </c>
      <c r="U78" s="10" t="s">
        <v>277</v>
      </c>
    </row>
    <row r="79" s="10" customFormat="1" hidden="1" spans="1:21">
      <c r="A79" s="5" t="s">
        <v>50</v>
      </c>
      <c r="B79" s="14">
        <v>10364</v>
      </c>
      <c r="C79" s="14" t="s">
        <v>278</v>
      </c>
      <c r="D79" s="14">
        <v>14</v>
      </c>
      <c r="E79" s="14">
        <v>2</v>
      </c>
      <c r="F79" s="14">
        <v>118</v>
      </c>
      <c r="G79" s="1">
        <v>0</v>
      </c>
      <c r="H79" s="14">
        <v>0</v>
      </c>
      <c r="I79" s="14">
        <v>64</v>
      </c>
      <c r="J79" s="14">
        <v>0</v>
      </c>
      <c r="K79" s="14">
        <v>1</v>
      </c>
      <c r="L79" s="14"/>
      <c r="M79" s="14">
        <v>0</v>
      </c>
      <c r="N79" s="14">
        <v>0</v>
      </c>
      <c r="O79" s="14" t="s">
        <v>248</v>
      </c>
      <c r="P79" s="14" t="s">
        <v>44</v>
      </c>
      <c r="Q79" s="14" t="s">
        <v>278</v>
      </c>
      <c r="S79" s="23">
        <v>1</v>
      </c>
      <c r="T79" s="10" t="s">
        <v>279</v>
      </c>
      <c r="U79" s="10" t="s">
        <v>280</v>
      </c>
    </row>
    <row r="80" s="10" customFormat="1" hidden="1" spans="1:21">
      <c r="A80" s="5" t="s">
        <v>50</v>
      </c>
      <c r="B80" s="14">
        <v>10365</v>
      </c>
      <c r="C80" s="14" t="s">
        <v>281</v>
      </c>
      <c r="D80" s="14">
        <v>14</v>
      </c>
      <c r="E80" s="14">
        <v>2</v>
      </c>
      <c r="F80" s="14">
        <v>118</v>
      </c>
      <c r="G80" s="1">
        <v>0</v>
      </c>
      <c r="H80" s="14">
        <v>0</v>
      </c>
      <c r="I80" s="14">
        <v>65</v>
      </c>
      <c r="J80" s="14">
        <v>0</v>
      </c>
      <c r="K80" s="14">
        <v>1</v>
      </c>
      <c r="L80" s="14"/>
      <c r="M80" s="14">
        <v>0</v>
      </c>
      <c r="N80" s="14">
        <v>0</v>
      </c>
      <c r="O80" s="14" t="s">
        <v>248</v>
      </c>
      <c r="P80" s="14" t="s">
        <v>44</v>
      </c>
      <c r="Q80" s="14" t="s">
        <v>281</v>
      </c>
      <c r="S80" s="23">
        <v>1</v>
      </c>
      <c r="T80" s="10" t="s">
        <v>279</v>
      </c>
      <c r="U80" s="10" t="s">
        <v>282</v>
      </c>
    </row>
    <row r="81" s="10" customFormat="1" hidden="1" spans="1:21">
      <c r="A81" s="5" t="s">
        <v>50</v>
      </c>
      <c r="B81" s="14">
        <v>10366</v>
      </c>
      <c r="C81" s="14" t="s">
        <v>283</v>
      </c>
      <c r="D81" s="14">
        <v>14</v>
      </c>
      <c r="E81" s="14">
        <v>2</v>
      </c>
      <c r="F81" s="14">
        <v>118</v>
      </c>
      <c r="G81" s="1">
        <v>0</v>
      </c>
      <c r="H81" s="14">
        <v>0</v>
      </c>
      <c r="I81" s="14">
        <v>66</v>
      </c>
      <c r="J81" s="14">
        <v>0</v>
      </c>
      <c r="K81" s="14">
        <v>1</v>
      </c>
      <c r="L81" s="14"/>
      <c r="M81" s="14">
        <v>0</v>
      </c>
      <c r="N81" s="14">
        <v>0</v>
      </c>
      <c r="O81" s="14" t="s">
        <v>248</v>
      </c>
      <c r="P81" s="14" t="s">
        <v>44</v>
      </c>
      <c r="Q81" s="14" t="s">
        <v>283</v>
      </c>
      <c r="S81" s="23">
        <v>1</v>
      </c>
      <c r="T81" s="10" t="s">
        <v>279</v>
      </c>
      <c r="U81" s="10" t="s">
        <v>284</v>
      </c>
    </row>
    <row r="82" s="10" customFormat="1" hidden="1" spans="1:21">
      <c r="A82" s="5" t="s">
        <v>50</v>
      </c>
      <c r="B82" s="14">
        <v>10367</v>
      </c>
      <c r="C82" s="14" t="s">
        <v>285</v>
      </c>
      <c r="D82" s="14">
        <v>14</v>
      </c>
      <c r="E82" s="14">
        <v>2</v>
      </c>
      <c r="F82" s="14">
        <v>118</v>
      </c>
      <c r="G82" s="1">
        <v>0</v>
      </c>
      <c r="H82" s="14">
        <v>0</v>
      </c>
      <c r="I82" s="14">
        <v>67</v>
      </c>
      <c r="J82" s="14">
        <v>0</v>
      </c>
      <c r="K82" s="14">
        <v>1</v>
      </c>
      <c r="L82" s="14"/>
      <c r="M82" s="14">
        <v>0</v>
      </c>
      <c r="N82" s="14">
        <v>0</v>
      </c>
      <c r="O82" s="14" t="s">
        <v>248</v>
      </c>
      <c r="P82" s="14" t="s">
        <v>44</v>
      </c>
      <c r="Q82" s="14" t="s">
        <v>285</v>
      </c>
      <c r="S82" s="23">
        <v>1</v>
      </c>
      <c r="T82" s="10" t="s">
        <v>286</v>
      </c>
      <c r="U82" s="10" t="s">
        <v>287</v>
      </c>
    </row>
    <row r="83" s="10" customFormat="1" hidden="1" spans="1:21">
      <c r="A83" s="5" t="s">
        <v>50</v>
      </c>
      <c r="B83" s="14">
        <v>10368</v>
      </c>
      <c r="C83" s="14" t="s">
        <v>288</v>
      </c>
      <c r="D83" s="14">
        <v>14</v>
      </c>
      <c r="E83" s="14">
        <v>2</v>
      </c>
      <c r="F83" s="14">
        <v>118</v>
      </c>
      <c r="G83" s="1">
        <v>0</v>
      </c>
      <c r="H83" s="14">
        <v>0</v>
      </c>
      <c r="I83" s="14">
        <v>68</v>
      </c>
      <c r="J83" s="14">
        <v>0</v>
      </c>
      <c r="K83" s="14">
        <v>1</v>
      </c>
      <c r="L83" s="14"/>
      <c r="M83" s="14">
        <v>0</v>
      </c>
      <c r="N83" s="14">
        <v>0</v>
      </c>
      <c r="O83" s="14" t="s">
        <v>248</v>
      </c>
      <c r="P83" s="14" t="s">
        <v>44</v>
      </c>
      <c r="Q83" s="14" t="s">
        <v>288</v>
      </c>
      <c r="S83" s="23">
        <v>1</v>
      </c>
      <c r="T83" s="10" t="s">
        <v>289</v>
      </c>
      <c r="U83" s="10" t="s">
        <v>290</v>
      </c>
    </row>
    <row r="84" s="10" customFormat="1" hidden="1" spans="1:21">
      <c r="A84" s="5" t="s">
        <v>50</v>
      </c>
      <c r="B84" s="14">
        <v>10369</v>
      </c>
      <c r="C84" s="14" t="s">
        <v>291</v>
      </c>
      <c r="D84" s="14">
        <v>14</v>
      </c>
      <c r="E84" s="14">
        <v>2</v>
      </c>
      <c r="F84" s="14">
        <v>118</v>
      </c>
      <c r="G84" s="1">
        <v>0</v>
      </c>
      <c r="H84" s="14">
        <v>0</v>
      </c>
      <c r="I84" s="14">
        <v>69</v>
      </c>
      <c r="J84" s="14">
        <v>0</v>
      </c>
      <c r="K84" s="14">
        <v>1</v>
      </c>
      <c r="L84" s="14"/>
      <c r="M84" s="14">
        <v>0</v>
      </c>
      <c r="N84" s="14">
        <v>0</v>
      </c>
      <c r="O84" s="14" t="s">
        <v>248</v>
      </c>
      <c r="P84" s="14" t="s">
        <v>44</v>
      </c>
      <c r="Q84" s="14" t="s">
        <v>291</v>
      </c>
      <c r="S84" s="23">
        <v>1</v>
      </c>
      <c r="T84" s="10" t="s">
        <v>292</v>
      </c>
      <c r="U84" s="10" t="s">
        <v>293</v>
      </c>
    </row>
    <row r="85" s="10" customFormat="1" hidden="1" spans="1:21">
      <c r="A85" s="5" t="s">
        <v>50</v>
      </c>
      <c r="B85" s="14">
        <v>10370</v>
      </c>
      <c r="C85" s="14" t="s">
        <v>294</v>
      </c>
      <c r="D85" s="14">
        <v>14</v>
      </c>
      <c r="E85" s="14">
        <v>2</v>
      </c>
      <c r="F85" s="14">
        <v>118</v>
      </c>
      <c r="G85" s="1">
        <v>0</v>
      </c>
      <c r="H85" s="14">
        <v>0</v>
      </c>
      <c r="I85" s="14">
        <v>70</v>
      </c>
      <c r="J85" s="14">
        <v>0</v>
      </c>
      <c r="K85" s="14">
        <v>1</v>
      </c>
      <c r="L85" s="14"/>
      <c r="M85" s="14">
        <v>0</v>
      </c>
      <c r="N85" s="14">
        <v>0</v>
      </c>
      <c r="O85" s="14" t="s">
        <v>248</v>
      </c>
      <c r="P85" s="14" t="s">
        <v>44</v>
      </c>
      <c r="Q85" s="14" t="s">
        <v>294</v>
      </c>
      <c r="S85" s="23">
        <v>1</v>
      </c>
      <c r="T85" s="10" t="s">
        <v>295</v>
      </c>
      <c r="U85" s="27" t="s">
        <v>296</v>
      </c>
    </row>
    <row r="86" s="10" customFormat="1" spans="1:20">
      <c r="A86" s="1"/>
      <c r="B86" s="1">
        <v>10401</v>
      </c>
      <c r="C86" s="1" t="s">
        <v>297</v>
      </c>
      <c r="D86" s="1">
        <v>5</v>
      </c>
      <c r="E86" s="1">
        <v>2</v>
      </c>
      <c r="F86" s="1">
        <v>4</v>
      </c>
      <c r="G86" s="1">
        <v>0</v>
      </c>
      <c r="H86" s="1">
        <v>0</v>
      </c>
      <c r="I86" s="1"/>
      <c r="J86" s="1">
        <v>0</v>
      </c>
      <c r="K86" s="1">
        <v>1</v>
      </c>
      <c r="L86" s="1"/>
      <c r="M86" s="9">
        <v>0</v>
      </c>
      <c r="N86" s="9">
        <v>0</v>
      </c>
      <c r="O86" s="1" t="s">
        <v>298</v>
      </c>
      <c r="P86" s="1" t="s">
        <v>44</v>
      </c>
      <c r="Q86" s="9" t="s">
        <v>299</v>
      </c>
      <c r="R86" s="9"/>
      <c r="S86" s="28">
        <v>1</v>
      </c>
      <c r="T86" s="29" t="s">
        <v>300</v>
      </c>
    </row>
    <row r="87" s="10" customFormat="1" spans="1:20">
      <c r="A87" s="1"/>
      <c r="B87" s="1">
        <v>10402</v>
      </c>
      <c r="C87" s="1" t="s">
        <v>301</v>
      </c>
      <c r="D87" s="1">
        <v>5</v>
      </c>
      <c r="E87" s="1">
        <v>2</v>
      </c>
      <c r="F87" s="1">
        <v>4</v>
      </c>
      <c r="G87" s="1">
        <v>0</v>
      </c>
      <c r="H87" s="1">
        <v>0</v>
      </c>
      <c r="I87" s="1"/>
      <c r="J87" s="1">
        <v>0</v>
      </c>
      <c r="K87" s="1">
        <v>2</v>
      </c>
      <c r="L87" s="1"/>
      <c r="M87" s="1">
        <v>0</v>
      </c>
      <c r="N87" s="1">
        <v>0</v>
      </c>
      <c r="O87" s="1" t="str">
        <f>VLOOKUP(B87,Sheet2!A:G,7,0)</f>
        <v>{5,220}</v>
      </c>
      <c r="P87" s="1" t="s">
        <v>44</v>
      </c>
      <c r="Q87" s="9" t="s">
        <v>302</v>
      </c>
      <c r="R87" s="9"/>
      <c r="S87" s="28">
        <v>1</v>
      </c>
      <c r="T87" s="29" t="s">
        <v>303</v>
      </c>
    </row>
    <row r="88" s="10" customFormat="1" spans="1:20">
      <c r="A88" s="1"/>
      <c r="B88" s="1">
        <v>10403</v>
      </c>
      <c r="C88" s="1" t="s">
        <v>304</v>
      </c>
      <c r="D88" s="1">
        <v>5</v>
      </c>
      <c r="E88" s="1">
        <v>2</v>
      </c>
      <c r="F88" s="1">
        <v>4</v>
      </c>
      <c r="G88" s="1">
        <v>0</v>
      </c>
      <c r="H88" s="1">
        <v>0</v>
      </c>
      <c r="I88" s="1"/>
      <c r="J88" s="1">
        <v>0</v>
      </c>
      <c r="K88" s="1">
        <v>3</v>
      </c>
      <c r="L88" s="1"/>
      <c r="M88" s="9">
        <v>0</v>
      </c>
      <c r="N88" s="9">
        <v>0</v>
      </c>
      <c r="O88" s="1" t="str">
        <f>VLOOKUP(B88,Sheet2!A:G,7,0)</f>
        <v>{5,230}</v>
      </c>
      <c r="P88" s="1" t="s">
        <v>44</v>
      </c>
      <c r="Q88" s="9" t="s">
        <v>305</v>
      </c>
      <c r="R88" s="9"/>
      <c r="S88" s="30">
        <v>2</v>
      </c>
      <c r="T88" s="29" t="s">
        <v>306</v>
      </c>
    </row>
    <row r="89" s="10" customFormat="1" spans="1:20">
      <c r="A89" s="1"/>
      <c r="B89" s="1">
        <v>10408</v>
      </c>
      <c r="C89" s="1" t="s">
        <v>307</v>
      </c>
      <c r="D89" s="1">
        <v>5</v>
      </c>
      <c r="E89" s="1">
        <v>2</v>
      </c>
      <c r="F89" s="1">
        <v>4</v>
      </c>
      <c r="G89" s="1">
        <v>0</v>
      </c>
      <c r="H89" s="1">
        <v>0</v>
      </c>
      <c r="I89" s="1"/>
      <c r="J89" s="1">
        <v>0</v>
      </c>
      <c r="K89" s="1">
        <v>5</v>
      </c>
      <c r="L89" s="1"/>
      <c r="M89" s="9">
        <v>0</v>
      </c>
      <c r="N89" s="9">
        <v>0</v>
      </c>
      <c r="O89" s="1" t="str">
        <f>VLOOKUP(B89,Sheet2!A:G,7,0)</f>
        <v>{5,240}</v>
      </c>
      <c r="P89" s="1" t="s">
        <v>44</v>
      </c>
      <c r="Q89" s="9" t="s">
        <v>308</v>
      </c>
      <c r="R89" s="9"/>
      <c r="S89" s="28">
        <v>1</v>
      </c>
      <c r="T89" s="29" t="s">
        <v>300</v>
      </c>
    </row>
    <row r="90" s="10" customFormat="1" spans="1:20">
      <c r="A90" s="1"/>
      <c r="B90" s="1">
        <v>10404</v>
      </c>
      <c r="C90" s="1" t="s">
        <v>309</v>
      </c>
      <c r="D90" s="1">
        <v>5</v>
      </c>
      <c r="E90" s="1">
        <v>2</v>
      </c>
      <c r="F90" s="1">
        <v>4</v>
      </c>
      <c r="G90" s="1">
        <v>0</v>
      </c>
      <c r="H90" s="1">
        <v>0</v>
      </c>
      <c r="I90" s="1"/>
      <c r="J90" s="1">
        <v>0</v>
      </c>
      <c r="K90" s="1">
        <v>7</v>
      </c>
      <c r="L90" s="1"/>
      <c r="M90" s="9">
        <v>0</v>
      </c>
      <c r="N90" s="9">
        <v>0</v>
      </c>
      <c r="O90" s="1" t="str">
        <f>VLOOKUP(B90,Sheet2!A:G,7,0)</f>
        <v>{5,250}</v>
      </c>
      <c r="P90" s="1" t="s">
        <v>44</v>
      </c>
      <c r="Q90" s="9" t="s">
        <v>310</v>
      </c>
      <c r="R90" s="9"/>
      <c r="S90" s="20">
        <v>3</v>
      </c>
      <c r="T90" s="29" t="s">
        <v>311</v>
      </c>
    </row>
    <row r="91" s="10" customFormat="1" spans="1:20">
      <c r="A91" s="1"/>
      <c r="B91" s="1">
        <v>10405</v>
      </c>
      <c r="C91" s="1" t="s">
        <v>312</v>
      </c>
      <c r="D91" s="1">
        <v>5</v>
      </c>
      <c r="E91" s="1">
        <v>2</v>
      </c>
      <c r="F91" s="1">
        <v>4</v>
      </c>
      <c r="G91" s="1">
        <v>0</v>
      </c>
      <c r="H91" s="1">
        <v>0</v>
      </c>
      <c r="I91" s="1"/>
      <c r="J91" s="1">
        <v>0</v>
      </c>
      <c r="K91" s="1">
        <v>10</v>
      </c>
      <c r="L91" s="1"/>
      <c r="M91" s="9">
        <v>0</v>
      </c>
      <c r="N91" s="9">
        <v>0</v>
      </c>
      <c r="O91" s="1" t="str">
        <f>VLOOKUP(B91,Sheet2!A:G,7,0)</f>
        <v>{5,260}</v>
      </c>
      <c r="P91" s="1" t="s">
        <v>44</v>
      </c>
      <c r="Q91" s="9" t="s">
        <v>313</v>
      </c>
      <c r="R91" s="9"/>
      <c r="S91" s="18">
        <v>1</v>
      </c>
      <c r="T91" s="29" t="s">
        <v>303</v>
      </c>
    </row>
    <row r="92" s="10" customFormat="1" spans="1:20">
      <c r="A92" s="1"/>
      <c r="B92" s="1">
        <v>10406</v>
      </c>
      <c r="C92" s="1" t="s">
        <v>314</v>
      </c>
      <c r="D92" s="1">
        <v>5</v>
      </c>
      <c r="E92" s="1">
        <v>2</v>
      </c>
      <c r="F92" s="1">
        <v>4</v>
      </c>
      <c r="G92" s="1">
        <v>0</v>
      </c>
      <c r="H92" s="1">
        <v>0</v>
      </c>
      <c r="I92" s="1"/>
      <c r="J92" s="1">
        <v>0</v>
      </c>
      <c r="K92" s="1">
        <v>14</v>
      </c>
      <c r="L92" s="1"/>
      <c r="M92" s="9">
        <v>0</v>
      </c>
      <c r="N92" s="9">
        <v>0</v>
      </c>
      <c r="O92" s="1" t="str">
        <f>VLOOKUP(B92,Sheet2!A:G,7,0)</f>
        <v>{5,270}</v>
      </c>
      <c r="P92" s="1" t="s">
        <v>44</v>
      </c>
      <c r="Q92" s="9" t="s">
        <v>315</v>
      </c>
      <c r="R92" s="9"/>
      <c r="S92" s="20">
        <v>2</v>
      </c>
      <c r="T92" s="29" t="s">
        <v>306</v>
      </c>
    </row>
    <row r="93" s="10" customFormat="1" spans="1:20">
      <c r="A93" s="1"/>
      <c r="B93" s="1">
        <v>10409</v>
      </c>
      <c r="C93" s="1" t="s">
        <v>316</v>
      </c>
      <c r="D93" s="1">
        <v>5</v>
      </c>
      <c r="E93" s="1">
        <v>2</v>
      </c>
      <c r="F93" s="1">
        <v>4</v>
      </c>
      <c r="G93" s="1">
        <v>0</v>
      </c>
      <c r="H93" s="1">
        <v>0</v>
      </c>
      <c r="I93" s="1"/>
      <c r="J93" s="1">
        <v>0</v>
      </c>
      <c r="K93" s="1">
        <v>20</v>
      </c>
      <c r="L93" s="1"/>
      <c r="M93" s="9">
        <v>0</v>
      </c>
      <c r="N93" s="9">
        <v>0</v>
      </c>
      <c r="O93" s="1" t="str">
        <f>VLOOKUP(B93,Sheet2!A:G,7,0)</f>
        <v>{5,280}</v>
      </c>
      <c r="P93" s="1" t="s">
        <v>44</v>
      </c>
      <c r="Q93" s="9" t="s">
        <v>317</v>
      </c>
      <c r="R93" s="9"/>
      <c r="S93" s="28">
        <v>1</v>
      </c>
      <c r="T93" s="29" t="s">
        <v>300</v>
      </c>
    </row>
    <row r="94" s="10" customFormat="1" spans="1:20">
      <c r="A94" s="1"/>
      <c r="B94" s="1">
        <v>10410</v>
      </c>
      <c r="C94" s="1" t="s">
        <v>318</v>
      </c>
      <c r="D94" s="1">
        <v>5</v>
      </c>
      <c r="E94" s="1">
        <v>2</v>
      </c>
      <c r="F94" s="1">
        <v>4</v>
      </c>
      <c r="G94" s="1">
        <v>0</v>
      </c>
      <c r="H94" s="1">
        <v>0</v>
      </c>
      <c r="I94" s="1"/>
      <c r="J94" s="1">
        <v>0</v>
      </c>
      <c r="K94" s="1">
        <v>25</v>
      </c>
      <c r="L94" s="1"/>
      <c r="M94" s="9">
        <v>0</v>
      </c>
      <c r="N94" s="9">
        <v>0</v>
      </c>
      <c r="O94" s="1" t="str">
        <f>VLOOKUP(B94,Sheet2!A:G,7,0)</f>
        <v>{5,290}</v>
      </c>
      <c r="P94" s="1" t="s">
        <v>44</v>
      </c>
      <c r="Q94" s="9" t="s">
        <v>319</v>
      </c>
      <c r="R94" s="9"/>
      <c r="S94" s="18">
        <v>1</v>
      </c>
      <c r="T94" s="29" t="s">
        <v>303</v>
      </c>
    </row>
    <row r="95" s="10" customFormat="1" spans="1:20">
      <c r="A95" s="1"/>
      <c r="B95" s="1">
        <v>10407</v>
      </c>
      <c r="C95" s="1" t="s">
        <v>320</v>
      </c>
      <c r="D95" s="1">
        <v>5</v>
      </c>
      <c r="E95" s="1">
        <v>2</v>
      </c>
      <c r="F95" s="1">
        <v>4</v>
      </c>
      <c r="G95" s="1">
        <v>0</v>
      </c>
      <c r="H95" s="1">
        <v>0</v>
      </c>
      <c r="I95" s="1"/>
      <c r="J95" s="1">
        <v>0</v>
      </c>
      <c r="K95" s="1">
        <v>30</v>
      </c>
      <c r="L95" s="1"/>
      <c r="M95" s="9">
        <v>0</v>
      </c>
      <c r="N95" s="9">
        <v>0</v>
      </c>
      <c r="O95" s="1" t="str">
        <f>VLOOKUP(B95,Sheet2!A:G,7,0)</f>
        <v>{5,300}</v>
      </c>
      <c r="P95" s="1" t="s">
        <v>44</v>
      </c>
      <c r="Q95" s="1" t="s">
        <v>321</v>
      </c>
      <c r="R95" s="9"/>
      <c r="S95" s="28">
        <v>1</v>
      </c>
      <c r="T95" s="29" t="s">
        <v>303</v>
      </c>
    </row>
    <row r="96" s="9" customFormat="1" spans="1:20">
      <c r="A96" s="1" t="s">
        <v>50</v>
      </c>
      <c r="B96" s="1">
        <v>10501</v>
      </c>
      <c r="C96" s="1" t="s">
        <v>322</v>
      </c>
      <c r="D96" s="1">
        <v>6</v>
      </c>
      <c r="E96" s="1">
        <v>2</v>
      </c>
      <c r="F96" s="1">
        <v>112</v>
      </c>
      <c r="G96" s="1">
        <v>0</v>
      </c>
      <c r="H96" s="1">
        <v>0</v>
      </c>
      <c r="I96" s="1"/>
      <c r="J96" s="1">
        <v>0</v>
      </c>
      <c r="K96" s="1">
        <v>100</v>
      </c>
      <c r="L96" s="1"/>
      <c r="M96" s="9">
        <v>0</v>
      </c>
      <c r="N96" s="9">
        <v>1</v>
      </c>
      <c r="O96" s="1" t="str">
        <f>VLOOKUP(B96,Sheet2!A:G,7,0)</f>
        <v>{2,300}</v>
      </c>
      <c r="P96" s="1" t="s">
        <v>44</v>
      </c>
      <c r="Q96" s="9" t="s">
        <v>323</v>
      </c>
      <c r="S96" s="20" t="s">
        <v>324</v>
      </c>
      <c r="T96" s="9" t="s">
        <v>325</v>
      </c>
    </row>
    <row r="97" s="9" customFormat="1" spans="1:20">
      <c r="A97" s="1" t="s">
        <v>50</v>
      </c>
      <c r="B97" s="1">
        <v>10502</v>
      </c>
      <c r="C97" s="1" t="s">
        <v>326</v>
      </c>
      <c r="D97" s="1">
        <v>6</v>
      </c>
      <c r="E97" s="1">
        <v>2</v>
      </c>
      <c r="F97" s="1">
        <v>112</v>
      </c>
      <c r="G97" s="1">
        <v>0</v>
      </c>
      <c r="H97" s="1">
        <v>0</v>
      </c>
      <c r="I97" s="1"/>
      <c r="J97" s="1">
        <v>0</v>
      </c>
      <c r="K97" s="1">
        <v>10000</v>
      </c>
      <c r="L97" s="1"/>
      <c r="M97" s="1">
        <v>0</v>
      </c>
      <c r="N97" s="1">
        <v>1</v>
      </c>
      <c r="O97" s="1" t="str">
        <f>VLOOKUP(B97,Sheet2!A:G,7,0)</f>
        <v>{2,300}</v>
      </c>
      <c r="P97" s="1" t="s">
        <v>44</v>
      </c>
      <c r="Q97" s="20" t="s">
        <v>327</v>
      </c>
      <c r="S97" s="18">
        <v>1</v>
      </c>
      <c r="T97" s="9" t="s">
        <v>325</v>
      </c>
    </row>
    <row r="98" s="9" customFormat="1" spans="1:20">
      <c r="A98" s="1" t="s">
        <v>50</v>
      </c>
      <c r="B98" s="1">
        <v>10503</v>
      </c>
      <c r="C98" s="1" t="s">
        <v>328</v>
      </c>
      <c r="D98" s="1">
        <v>6</v>
      </c>
      <c r="E98" s="1">
        <v>2</v>
      </c>
      <c r="F98" s="1">
        <v>112</v>
      </c>
      <c r="G98" s="1">
        <v>0</v>
      </c>
      <c r="H98" s="1">
        <v>0</v>
      </c>
      <c r="I98" s="1"/>
      <c r="J98" s="1">
        <v>0</v>
      </c>
      <c r="K98" s="1">
        <v>20000</v>
      </c>
      <c r="L98" s="1"/>
      <c r="M98" s="9">
        <v>0</v>
      </c>
      <c r="N98" s="9">
        <v>1</v>
      </c>
      <c r="O98" s="1" t="str">
        <f>VLOOKUP(B98,Sheet2!A:G,7,0)</f>
        <v>{2,480}</v>
      </c>
      <c r="P98" s="1" t="s">
        <v>44</v>
      </c>
      <c r="Q98" s="20" t="s">
        <v>329</v>
      </c>
      <c r="S98" s="18">
        <v>1</v>
      </c>
      <c r="T98" s="9" t="s">
        <v>325</v>
      </c>
    </row>
    <row r="99" s="9" customFormat="1" spans="1:20">
      <c r="A99" s="1" t="s">
        <v>50</v>
      </c>
      <c r="B99" s="1">
        <v>10504</v>
      </c>
      <c r="C99" s="1" t="s">
        <v>330</v>
      </c>
      <c r="D99" s="1">
        <v>6</v>
      </c>
      <c r="E99" s="1">
        <v>2</v>
      </c>
      <c r="F99" s="1">
        <v>112</v>
      </c>
      <c r="G99" s="1">
        <v>0</v>
      </c>
      <c r="H99" s="1">
        <v>0</v>
      </c>
      <c r="I99" s="1"/>
      <c r="J99" s="1">
        <v>0</v>
      </c>
      <c r="K99" s="1">
        <v>50000</v>
      </c>
      <c r="L99" s="1"/>
      <c r="M99" s="1">
        <v>0</v>
      </c>
      <c r="N99" s="1">
        <v>2</v>
      </c>
      <c r="O99" s="1" t="str">
        <f>VLOOKUP(B99,Sheet2!A:G,7,0)</f>
        <v>{2,1200}</v>
      </c>
      <c r="P99" s="1" t="s">
        <v>44</v>
      </c>
      <c r="Q99" s="20" t="s">
        <v>331</v>
      </c>
      <c r="S99" s="18">
        <v>1</v>
      </c>
      <c r="T99" s="9" t="s">
        <v>332</v>
      </c>
    </row>
    <row r="100" s="9" customFormat="1" spans="1:20">
      <c r="A100" s="1" t="s">
        <v>50</v>
      </c>
      <c r="B100" s="1">
        <v>10505</v>
      </c>
      <c r="C100" s="1" t="s">
        <v>333</v>
      </c>
      <c r="D100" s="1">
        <v>6</v>
      </c>
      <c r="E100" s="1">
        <v>2</v>
      </c>
      <c r="F100" s="1">
        <v>112</v>
      </c>
      <c r="G100" s="1">
        <v>0</v>
      </c>
      <c r="H100" s="1">
        <v>0</v>
      </c>
      <c r="I100" s="1"/>
      <c r="J100" s="1">
        <v>0</v>
      </c>
      <c r="K100" s="1">
        <v>100000</v>
      </c>
      <c r="L100" s="1"/>
      <c r="M100" s="9">
        <v>0</v>
      </c>
      <c r="N100" s="9">
        <v>2</v>
      </c>
      <c r="O100" s="1" t="str">
        <f>VLOOKUP(B100,Sheet2!A:G,7,0)</f>
        <v>{2,1920}</v>
      </c>
      <c r="P100" s="1" t="s">
        <v>44</v>
      </c>
      <c r="Q100" s="20" t="s">
        <v>334</v>
      </c>
      <c r="S100" s="30">
        <v>2</v>
      </c>
      <c r="T100" s="9" t="s">
        <v>332</v>
      </c>
    </row>
    <row r="101" s="9" customFormat="1" spans="1:20">
      <c r="A101" s="1" t="s">
        <v>50</v>
      </c>
      <c r="B101" s="1">
        <v>10506</v>
      </c>
      <c r="C101" s="1" t="s">
        <v>335</v>
      </c>
      <c r="D101" s="1">
        <v>6</v>
      </c>
      <c r="E101" s="1">
        <v>2</v>
      </c>
      <c r="F101" s="1">
        <v>112</v>
      </c>
      <c r="G101" s="1">
        <v>0</v>
      </c>
      <c r="H101" s="1">
        <v>0</v>
      </c>
      <c r="I101" s="1"/>
      <c r="J101" s="1">
        <v>0</v>
      </c>
      <c r="K101" s="1">
        <v>200000</v>
      </c>
      <c r="L101" s="1"/>
      <c r="M101" s="1">
        <v>0</v>
      </c>
      <c r="N101" s="1">
        <v>3</v>
      </c>
      <c r="O101" s="1" t="str">
        <f>VLOOKUP(B101,Sheet2!A:G,7,0)</f>
        <v>{2,3000}</v>
      </c>
      <c r="P101" s="1" t="s">
        <v>44</v>
      </c>
      <c r="Q101" s="20" t="s">
        <v>336</v>
      </c>
      <c r="S101" s="30">
        <v>2</v>
      </c>
      <c r="T101" s="9" t="s">
        <v>337</v>
      </c>
    </row>
    <row r="102" s="9" customFormat="1" spans="1:20">
      <c r="A102" s="1" t="s">
        <v>50</v>
      </c>
      <c r="B102" s="1">
        <v>10507</v>
      </c>
      <c r="C102" s="1" t="s">
        <v>338</v>
      </c>
      <c r="D102" s="1">
        <v>6</v>
      </c>
      <c r="E102" s="1">
        <v>2</v>
      </c>
      <c r="F102" s="1">
        <v>112</v>
      </c>
      <c r="G102" s="1">
        <v>0</v>
      </c>
      <c r="H102" s="1">
        <v>0</v>
      </c>
      <c r="I102" s="1"/>
      <c r="J102" s="1">
        <v>0</v>
      </c>
      <c r="K102" s="1">
        <v>500000</v>
      </c>
      <c r="L102" s="1"/>
      <c r="M102" s="9">
        <v>0</v>
      </c>
      <c r="N102" s="9">
        <v>3</v>
      </c>
      <c r="O102" s="1" t="str">
        <f>VLOOKUP(B102,Sheet2!A:G,7,0)</f>
        <v>{2,6000}</v>
      </c>
      <c r="P102" s="1" t="s">
        <v>44</v>
      </c>
      <c r="Q102" s="20" t="s">
        <v>339</v>
      </c>
      <c r="S102" s="30">
        <v>2</v>
      </c>
      <c r="T102" s="9" t="s">
        <v>337</v>
      </c>
    </row>
    <row r="103" s="9" customFormat="1" spans="1:20">
      <c r="A103" s="1" t="s">
        <v>50</v>
      </c>
      <c r="B103" s="1">
        <v>10508</v>
      </c>
      <c r="C103" s="1" t="s">
        <v>340</v>
      </c>
      <c r="D103" s="1">
        <v>6</v>
      </c>
      <c r="E103" s="1">
        <v>2</v>
      </c>
      <c r="F103" s="1">
        <v>112</v>
      </c>
      <c r="G103" s="1">
        <v>0</v>
      </c>
      <c r="H103" s="1">
        <v>0</v>
      </c>
      <c r="I103" s="1"/>
      <c r="J103" s="1">
        <v>0</v>
      </c>
      <c r="K103" s="1">
        <v>1000000</v>
      </c>
      <c r="L103" s="1"/>
      <c r="M103" s="1">
        <v>0</v>
      </c>
      <c r="N103" s="1">
        <v>3</v>
      </c>
      <c r="O103" s="1" t="str">
        <f>VLOOKUP(B103,Sheet2!A:G,7,0)</f>
        <v>{2,9600}</v>
      </c>
      <c r="P103" s="1" t="s">
        <v>44</v>
      </c>
      <c r="Q103" s="20" t="s">
        <v>341</v>
      </c>
      <c r="S103" s="30">
        <v>2</v>
      </c>
      <c r="T103" s="9" t="s">
        <v>342</v>
      </c>
    </row>
    <row r="104" s="9" customFormat="1" spans="1:20">
      <c r="A104" s="1" t="s">
        <v>50</v>
      </c>
      <c r="B104" s="1">
        <v>10509</v>
      </c>
      <c r="C104" s="1" t="s">
        <v>343</v>
      </c>
      <c r="D104" s="1">
        <v>6</v>
      </c>
      <c r="E104" s="1">
        <v>2</v>
      </c>
      <c r="F104" s="1">
        <v>112</v>
      </c>
      <c r="G104" s="1">
        <v>0</v>
      </c>
      <c r="H104" s="1">
        <v>0</v>
      </c>
      <c r="I104" s="1"/>
      <c r="J104" s="1">
        <v>0</v>
      </c>
      <c r="K104" s="1">
        <v>2000000</v>
      </c>
      <c r="L104" s="1"/>
      <c r="M104" s="9">
        <v>0</v>
      </c>
      <c r="N104" s="9">
        <v>4</v>
      </c>
      <c r="O104" s="1" t="str">
        <f>VLOOKUP(B104,Sheet2!A:G,7,0)</f>
        <v>{2,18000}</v>
      </c>
      <c r="P104" s="1" t="s">
        <v>44</v>
      </c>
      <c r="Q104" s="20" t="s">
        <v>344</v>
      </c>
      <c r="S104" s="30">
        <v>2</v>
      </c>
      <c r="T104" s="9" t="s">
        <v>342</v>
      </c>
    </row>
    <row r="105" s="9" customFormat="1" spans="1:20">
      <c r="A105" s="1" t="s">
        <v>50</v>
      </c>
      <c r="B105" s="1">
        <v>10510</v>
      </c>
      <c r="C105" s="1" t="s">
        <v>345</v>
      </c>
      <c r="D105" s="1">
        <v>6</v>
      </c>
      <c r="E105" s="1">
        <v>2</v>
      </c>
      <c r="F105" s="1">
        <v>112</v>
      </c>
      <c r="G105" s="1">
        <v>0</v>
      </c>
      <c r="H105" s="1">
        <v>0</v>
      </c>
      <c r="I105" s="1"/>
      <c r="J105" s="1">
        <v>0</v>
      </c>
      <c r="K105" s="1">
        <v>5000000</v>
      </c>
      <c r="L105" s="1"/>
      <c r="M105" s="1">
        <v>0</v>
      </c>
      <c r="N105" s="9">
        <v>4</v>
      </c>
      <c r="O105" s="1" t="str">
        <f>VLOOKUP(B105,Sheet2!A:G,7,0)</f>
        <v>{2,38400}</v>
      </c>
      <c r="P105" s="1" t="s">
        <v>44</v>
      </c>
      <c r="Q105" s="20" t="s">
        <v>346</v>
      </c>
      <c r="S105" s="30">
        <v>3</v>
      </c>
      <c r="T105" s="9" t="s">
        <v>303</v>
      </c>
    </row>
    <row r="106" s="11" customFormat="1" spans="1:21">
      <c r="A106" s="1" t="s">
        <v>50</v>
      </c>
      <c r="B106" s="1">
        <v>10601</v>
      </c>
      <c r="C106" s="1" t="s">
        <v>347</v>
      </c>
      <c r="D106" s="1">
        <v>7</v>
      </c>
      <c r="E106" s="1">
        <v>2</v>
      </c>
      <c r="F106" s="1">
        <v>113</v>
      </c>
      <c r="G106" s="1">
        <v>0</v>
      </c>
      <c r="H106" s="1">
        <v>0</v>
      </c>
      <c r="I106" s="1"/>
      <c r="J106" s="1">
        <v>0</v>
      </c>
      <c r="K106" s="1">
        <v>1</v>
      </c>
      <c r="L106" s="1"/>
      <c r="M106" s="9">
        <v>0</v>
      </c>
      <c r="N106" s="1">
        <v>0</v>
      </c>
      <c r="O106" s="1" t="str">
        <f>VLOOKUP(B106,Sheet2!A:G,7,0)</f>
        <v>{2,50}</v>
      </c>
      <c r="P106" s="1" t="s">
        <v>44</v>
      </c>
      <c r="Q106" s="1">
        <v>1</v>
      </c>
      <c r="R106" s="9"/>
      <c r="S106" s="18">
        <v>1</v>
      </c>
      <c r="T106" s="9" t="s">
        <v>325</v>
      </c>
      <c r="U106" s="9"/>
    </row>
    <row r="107" s="11" customFormat="1" spans="1:21">
      <c r="A107" s="1" t="s">
        <v>50</v>
      </c>
      <c r="B107" s="1">
        <v>10602</v>
      </c>
      <c r="C107" s="1" t="s">
        <v>348</v>
      </c>
      <c r="D107" s="1">
        <v>7</v>
      </c>
      <c r="E107" s="1">
        <v>2</v>
      </c>
      <c r="F107" s="1">
        <v>113</v>
      </c>
      <c r="G107" s="1">
        <v>0</v>
      </c>
      <c r="H107" s="1">
        <v>0</v>
      </c>
      <c r="I107" s="1"/>
      <c r="J107" s="1">
        <v>0</v>
      </c>
      <c r="K107" s="1">
        <v>2</v>
      </c>
      <c r="L107" s="1"/>
      <c r="M107" s="1">
        <v>0</v>
      </c>
      <c r="N107" s="1">
        <v>0</v>
      </c>
      <c r="O107" s="1" t="str">
        <f>VLOOKUP(B107,Sheet2!A:G,7,0)</f>
        <v>{2,50}</v>
      </c>
      <c r="P107" s="1" t="s">
        <v>44</v>
      </c>
      <c r="Q107" s="1">
        <v>2</v>
      </c>
      <c r="R107" s="9"/>
      <c r="S107" s="18">
        <v>1</v>
      </c>
      <c r="T107" s="9" t="s">
        <v>325</v>
      </c>
      <c r="U107" s="9"/>
    </row>
    <row r="108" s="11" customFormat="1" spans="1:21">
      <c r="A108" s="1" t="s">
        <v>50</v>
      </c>
      <c r="B108" s="1">
        <v>10603</v>
      </c>
      <c r="C108" s="1" t="s">
        <v>349</v>
      </c>
      <c r="D108" s="1">
        <v>7</v>
      </c>
      <c r="E108" s="1">
        <v>2</v>
      </c>
      <c r="F108" s="1">
        <v>113</v>
      </c>
      <c r="G108" s="1">
        <v>0</v>
      </c>
      <c r="H108" s="1">
        <v>0</v>
      </c>
      <c r="I108" s="1"/>
      <c r="J108" s="1">
        <v>0</v>
      </c>
      <c r="K108" s="1">
        <v>5</v>
      </c>
      <c r="L108" s="1"/>
      <c r="M108" s="9">
        <v>0</v>
      </c>
      <c r="N108" s="1">
        <v>1</v>
      </c>
      <c r="O108" s="1" t="str">
        <f>VLOOKUP(B108,Sheet2!A:G,7,0)</f>
        <v>{2,200}</v>
      </c>
      <c r="P108" s="1" t="s">
        <v>44</v>
      </c>
      <c r="Q108" s="1">
        <v>5</v>
      </c>
      <c r="R108" s="9"/>
      <c r="S108" s="18">
        <v>1</v>
      </c>
      <c r="T108" s="9" t="s">
        <v>332</v>
      </c>
      <c r="U108" s="9"/>
    </row>
    <row r="109" s="11" customFormat="1" spans="1:21">
      <c r="A109" s="1" t="s">
        <v>50</v>
      </c>
      <c r="B109" s="1">
        <v>10604</v>
      </c>
      <c r="C109" s="1" t="s">
        <v>350</v>
      </c>
      <c r="D109" s="1">
        <v>7</v>
      </c>
      <c r="E109" s="1">
        <v>2</v>
      </c>
      <c r="F109" s="1">
        <v>113</v>
      </c>
      <c r="G109" s="1">
        <v>0</v>
      </c>
      <c r="H109" s="1">
        <v>0</v>
      </c>
      <c r="I109" s="1"/>
      <c r="J109" s="1">
        <v>0</v>
      </c>
      <c r="K109" s="1">
        <v>10</v>
      </c>
      <c r="L109" s="1"/>
      <c r="M109" s="1">
        <v>0</v>
      </c>
      <c r="N109" s="1">
        <v>2</v>
      </c>
      <c r="O109" s="1" t="str">
        <f>VLOOKUP(B109,Sheet2!A:G,7,0)</f>
        <v>{2,300}</v>
      </c>
      <c r="P109" s="1" t="s">
        <v>44</v>
      </c>
      <c r="Q109" s="1">
        <v>10</v>
      </c>
      <c r="R109" s="9"/>
      <c r="S109" s="18">
        <v>1</v>
      </c>
      <c r="T109" s="9" t="s">
        <v>332</v>
      </c>
      <c r="U109" s="9"/>
    </row>
    <row r="110" s="11" customFormat="1" spans="1:21">
      <c r="A110" s="1" t="s">
        <v>50</v>
      </c>
      <c r="B110" s="1">
        <v>10605</v>
      </c>
      <c r="C110" s="1" t="s">
        <v>351</v>
      </c>
      <c r="D110" s="1">
        <v>7</v>
      </c>
      <c r="E110" s="1">
        <v>2</v>
      </c>
      <c r="F110" s="1">
        <v>113</v>
      </c>
      <c r="G110" s="1">
        <v>0</v>
      </c>
      <c r="H110" s="1">
        <v>0</v>
      </c>
      <c r="I110" s="1"/>
      <c r="J110" s="1">
        <v>0</v>
      </c>
      <c r="K110" s="1">
        <v>20</v>
      </c>
      <c r="L110" s="1"/>
      <c r="M110" s="9">
        <v>0</v>
      </c>
      <c r="N110" s="1">
        <v>2</v>
      </c>
      <c r="O110" s="1" t="str">
        <f>VLOOKUP(B110,Sheet2!A:G,7,0)</f>
        <v>{2,600}</v>
      </c>
      <c r="P110" s="1" t="s">
        <v>44</v>
      </c>
      <c r="Q110" s="1">
        <v>20</v>
      </c>
      <c r="R110" s="9"/>
      <c r="S110" s="18">
        <v>1</v>
      </c>
      <c r="T110" s="9" t="s">
        <v>337</v>
      </c>
      <c r="U110" s="9"/>
    </row>
    <row r="111" s="11" customFormat="1" spans="1:21">
      <c r="A111" s="1" t="s">
        <v>50</v>
      </c>
      <c r="B111" s="1">
        <v>10606</v>
      </c>
      <c r="C111" s="1" t="s">
        <v>352</v>
      </c>
      <c r="D111" s="1">
        <v>7</v>
      </c>
      <c r="E111" s="1">
        <v>2</v>
      </c>
      <c r="F111" s="1">
        <v>113</v>
      </c>
      <c r="G111" s="1">
        <v>0</v>
      </c>
      <c r="H111" s="1">
        <v>0</v>
      </c>
      <c r="I111" s="1"/>
      <c r="J111" s="1">
        <v>0</v>
      </c>
      <c r="K111" s="1">
        <v>50</v>
      </c>
      <c r="L111" s="1"/>
      <c r="M111" s="1">
        <v>0</v>
      </c>
      <c r="N111" s="1">
        <v>3</v>
      </c>
      <c r="O111" s="1" t="str">
        <f>VLOOKUP(B111,Sheet2!A:G,7,0)</f>
        <v>{2,1800}</v>
      </c>
      <c r="P111" s="1" t="s">
        <v>44</v>
      </c>
      <c r="Q111" s="1">
        <v>50</v>
      </c>
      <c r="R111" s="9"/>
      <c r="S111" s="18">
        <v>2</v>
      </c>
      <c r="T111" s="9" t="s">
        <v>342</v>
      </c>
      <c r="U111" s="9"/>
    </row>
    <row r="112" s="11" customFormat="1" spans="1:21">
      <c r="A112" s="1" t="s">
        <v>50</v>
      </c>
      <c r="B112" s="1">
        <v>10607</v>
      </c>
      <c r="C112" s="1" t="s">
        <v>353</v>
      </c>
      <c r="D112" s="1">
        <v>7</v>
      </c>
      <c r="E112" s="1">
        <v>2</v>
      </c>
      <c r="F112" s="1">
        <v>113</v>
      </c>
      <c r="G112" s="1">
        <v>0</v>
      </c>
      <c r="H112" s="1">
        <v>0</v>
      </c>
      <c r="I112" s="1"/>
      <c r="J112" s="1">
        <v>0</v>
      </c>
      <c r="K112" s="1">
        <v>100</v>
      </c>
      <c r="L112" s="1"/>
      <c r="M112" s="9">
        <v>0</v>
      </c>
      <c r="N112" s="1">
        <v>3</v>
      </c>
      <c r="O112" s="1" t="str">
        <f>VLOOKUP(B112,Sheet2!A:G,7,0)</f>
        <v>{2,3000}</v>
      </c>
      <c r="P112" s="1" t="s">
        <v>44</v>
      </c>
      <c r="Q112" s="1">
        <v>100</v>
      </c>
      <c r="R112" s="9"/>
      <c r="S112" s="30">
        <v>3</v>
      </c>
      <c r="T112" s="9" t="s">
        <v>303</v>
      </c>
      <c r="U112" s="9"/>
    </row>
    <row r="113" spans="1:20">
      <c r="A113" s="9"/>
      <c r="B113" s="9">
        <v>10701</v>
      </c>
      <c r="C113" s="9" t="s">
        <v>354</v>
      </c>
      <c r="D113" s="9">
        <v>8</v>
      </c>
      <c r="E113" s="9">
        <v>2</v>
      </c>
      <c r="F113" s="9">
        <v>122</v>
      </c>
      <c r="G113" s="1">
        <v>0</v>
      </c>
      <c r="H113" s="9">
        <v>0</v>
      </c>
      <c r="I113" s="9">
        <v>101</v>
      </c>
      <c r="J113" s="1">
        <v>0</v>
      </c>
      <c r="K113" s="9">
        <v>1</v>
      </c>
      <c r="L113" s="9"/>
      <c r="M113" s="9">
        <v>0</v>
      </c>
      <c r="N113" s="9">
        <v>0</v>
      </c>
      <c r="O113" s="1" t="str">
        <f>VLOOKUP(B113,Sheet2!A:G,7,0)</f>
        <v>{2,200}</v>
      </c>
      <c r="P113" s="1" t="s">
        <v>44</v>
      </c>
      <c r="Q113" s="9">
        <v>1</v>
      </c>
      <c r="R113" s="9"/>
      <c r="S113" s="28">
        <v>1</v>
      </c>
      <c r="T113" s="9" t="s">
        <v>325</v>
      </c>
    </row>
    <row r="114" spans="1:20">
      <c r="A114" s="9"/>
      <c r="B114" s="9">
        <v>10702</v>
      </c>
      <c r="C114" s="9" t="s">
        <v>355</v>
      </c>
      <c r="D114" s="9">
        <v>8</v>
      </c>
      <c r="E114" s="9">
        <v>2</v>
      </c>
      <c r="F114" s="9">
        <v>122</v>
      </c>
      <c r="G114" s="1">
        <v>0</v>
      </c>
      <c r="H114" s="9">
        <v>0</v>
      </c>
      <c r="I114" s="9">
        <v>101</v>
      </c>
      <c r="J114" s="1">
        <v>0</v>
      </c>
      <c r="K114" s="9">
        <v>2</v>
      </c>
      <c r="L114" s="9"/>
      <c r="M114" s="9">
        <v>0</v>
      </c>
      <c r="N114" s="9">
        <v>0</v>
      </c>
      <c r="O114" s="1" t="str">
        <f>VLOOKUP(B114,Sheet2!A:G,7,0)</f>
        <v>{2,300}</v>
      </c>
      <c r="P114" s="1" t="s">
        <v>44</v>
      </c>
      <c r="Q114" s="9">
        <v>2</v>
      </c>
      <c r="R114" s="9"/>
      <c r="S114" s="28">
        <v>1</v>
      </c>
      <c r="T114" s="9" t="s">
        <v>325</v>
      </c>
    </row>
    <row r="115" spans="1:20">
      <c r="A115" s="9"/>
      <c r="B115" s="9">
        <v>10703</v>
      </c>
      <c r="C115" s="9" t="s">
        <v>356</v>
      </c>
      <c r="D115" s="9">
        <v>8</v>
      </c>
      <c r="E115" s="9">
        <v>2</v>
      </c>
      <c r="F115" s="9">
        <v>122</v>
      </c>
      <c r="G115" s="1">
        <v>0</v>
      </c>
      <c r="H115" s="9">
        <v>0</v>
      </c>
      <c r="I115" s="9">
        <v>101</v>
      </c>
      <c r="J115" s="1">
        <v>0</v>
      </c>
      <c r="K115" s="9">
        <v>3</v>
      </c>
      <c r="L115" s="9"/>
      <c r="M115" s="9">
        <v>0</v>
      </c>
      <c r="N115" s="9">
        <v>1</v>
      </c>
      <c r="O115" s="1" t="str">
        <f>VLOOKUP(B115,Sheet2!A:G,7,0)</f>
        <v>{2,400}</v>
      </c>
      <c r="P115" s="1" t="s">
        <v>44</v>
      </c>
      <c r="Q115" s="9">
        <v>3</v>
      </c>
      <c r="R115" s="9"/>
      <c r="S115" s="28">
        <v>1</v>
      </c>
      <c r="T115" s="9" t="s">
        <v>325</v>
      </c>
    </row>
    <row r="116" spans="1:20">
      <c r="A116" s="9"/>
      <c r="B116" s="9">
        <v>10704</v>
      </c>
      <c r="C116" s="9" t="s">
        <v>357</v>
      </c>
      <c r="D116" s="9">
        <v>8</v>
      </c>
      <c r="E116" s="9">
        <v>2</v>
      </c>
      <c r="F116" s="9">
        <v>122</v>
      </c>
      <c r="G116" s="1">
        <v>0</v>
      </c>
      <c r="H116" s="9">
        <v>0</v>
      </c>
      <c r="I116" s="9">
        <v>101</v>
      </c>
      <c r="J116" s="1">
        <v>0</v>
      </c>
      <c r="K116" s="9">
        <v>4</v>
      </c>
      <c r="L116" s="9"/>
      <c r="M116" s="9">
        <v>0</v>
      </c>
      <c r="N116" s="9">
        <v>1</v>
      </c>
      <c r="O116" s="1" t="str">
        <f>VLOOKUP(B116,Sheet2!A:G,7,0)</f>
        <v>{2,500}</v>
      </c>
      <c r="P116" s="1" t="s">
        <v>44</v>
      </c>
      <c r="Q116" s="9">
        <v>4</v>
      </c>
      <c r="R116" s="9"/>
      <c r="S116" s="28">
        <v>1</v>
      </c>
      <c r="T116" s="9" t="s">
        <v>332</v>
      </c>
    </row>
    <row r="117" spans="1:20">
      <c r="A117" s="9"/>
      <c r="B117" s="9">
        <v>10705</v>
      </c>
      <c r="C117" s="9" t="s">
        <v>358</v>
      </c>
      <c r="D117" s="9">
        <v>8</v>
      </c>
      <c r="E117" s="9">
        <v>2</v>
      </c>
      <c r="F117" s="9">
        <v>122</v>
      </c>
      <c r="G117" s="1">
        <v>0</v>
      </c>
      <c r="H117" s="9">
        <v>0</v>
      </c>
      <c r="I117" s="9">
        <v>101</v>
      </c>
      <c r="J117" s="1">
        <v>0</v>
      </c>
      <c r="K117" s="9">
        <v>5</v>
      </c>
      <c r="L117" s="9"/>
      <c r="M117" s="9">
        <v>0</v>
      </c>
      <c r="N117" s="9">
        <v>2</v>
      </c>
      <c r="O117" s="1" t="str">
        <f>VLOOKUP(B117,Sheet2!A:G,7,0)</f>
        <v>{2,600}</v>
      </c>
      <c r="P117" s="1" t="s">
        <v>44</v>
      </c>
      <c r="Q117" s="9">
        <v>5</v>
      </c>
      <c r="R117" s="9"/>
      <c r="S117" s="28">
        <v>1</v>
      </c>
      <c r="T117" s="9" t="s">
        <v>332</v>
      </c>
    </row>
    <row r="118" spans="1:20">
      <c r="A118" s="9"/>
      <c r="B118" s="9">
        <v>10706</v>
      </c>
      <c r="C118" s="9" t="s">
        <v>359</v>
      </c>
      <c r="D118" s="9">
        <v>8</v>
      </c>
      <c r="E118" s="9">
        <v>2</v>
      </c>
      <c r="F118" s="9">
        <v>122</v>
      </c>
      <c r="G118" s="1">
        <v>0</v>
      </c>
      <c r="H118" s="9">
        <v>0</v>
      </c>
      <c r="I118" s="9">
        <v>101</v>
      </c>
      <c r="J118" s="1">
        <v>0</v>
      </c>
      <c r="K118" s="9">
        <v>6</v>
      </c>
      <c r="L118" s="9"/>
      <c r="M118" s="9">
        <v>0</v>
      </c>
      <c r="N118" s="9">
        <v>2</v>
      </c>
      <c r="O118" s="1" t="str">
        <f>VLOOKUP(B118,Sheet2!A:G,7,0)</f>
        <v>{2,700}</v>
      </c>
      <c r="P118" s="1" t="s">
        <v>44</v>
      </c>
      <c r="Q118" s="9">
        <v>6</v>
      </c>
      <c r="R118" s="9"/>
      <c r="S118" s="30">
        <v>2</v>
      </c>
      <c r="T118" s="9" t="s">
        <v>332</v>
      </c>
    </row>
    <row r="119" spans="1:20">
      <c r="A119" s="9"/>
      <c r="B119" s="9">
        <v>10707</v>
      </c>
      <c r="C119" s="9" t="s">
        <v>360</v>
      </c>
      <c r="D119" s="9">
        <v>8</v>
      </c>
      <c r="E119" s="9">
        <v>2</v>
      </c>
      <c r="F119" s="9">
        <v>122</v>
      </c>
      <c r="G119" s="1">
        <v>0</v>
      </c>
      <c r="H119" s="9">
        <v>0</v>
      </c>
      <c r="I119" s="9">
        <v>101</v>
      </c>
      <c r="J119" s="1">
        <v>0</v>
      </c>
      <c r="K119" s="9">
        <v>7</v>
      </c>
      <c r="L119" s="9"/>
      <c r="M119" s="9">
        <v>0</v>
      </c>
      <c r="N119" s="9">
        <v>2</v>
      </c>
      <c r="O119" s="1" t="str">
        <f>VLOOKUP(B119,Sheet2!A:G,7,0)</f>
        <v>{2,800}</v>
      </c>
      <c r="P119" s="1" t="s">
        <v>44</v>
      </c>
      <c r="Q119" s="9">
        <v>7</v>
      </c>
      <c r="R119" s="9"/>
      <c r="S119" s="30">
        <v>2</v>
      </c>
      <c r="T119" s="9" t="s">
        <v>337</v>
      </c>
    </row>
    <row r="120" spans="1:20">
      <c r="A120" s="9"/>
      <c r="B120" s="9">
        <v>10708</v>
      </c>
      <c r="C120" s="9" t="s">
        <v>361</v>
      </c>
      <c r="D120" s="9">
        <v>8</v>
      </c>
      <c r="E120" s="9">
        <v>2</v>
      </c>
      <c r="F120" s="9">
        <v>122</v>
      </c>
      <c r="G120" s="1">
        <v>0</v>
      </c>
      <c r="H120" s="9">
        <v>0</v>
      </c>
      <c r="I120" s="9">
        <v>101</v>
      </c>
      <c r="J120" s="1">
        <v>0</v>
      </c>
      <c r="K120" s="9">
        <v>8</v>
      </c>
      <c r="L120" s="9"/>
      <c r="M120" s="9">
        <v>0</v>
      </c>
      <c r="N120" s="9">
        <v>2</v>
      </c>
      <c r="O120" s="1" t="str">
        <f>VLOOKUP(B120,Sheet2!A:G,7,0)</f>
        <v>{2,900}</v>
      </c>
      <c r="P120" s="1" t="s">
        <v>44</v>
      </c>
      <c r="Q120" s="9">
        <v>8</v>
      </c>
      <c r="R120" s="9"/>
      <c r="S120" s="30">
        <v>2</v>
      </c>
      <c r="T120" s="9" t="s">
        <v>337</v>
      </c>
    </row>
    <row r="121" spans="1:20">
      <c r="A121" s="9"/>
      <c r="B121" s="9">
        <v>10709</v>
      </c>
      <c r="C121" s="9" t="s">
        <v>362</v>
      </c>
      <c r="D121" s="9">
        <v>8</v>
      </c>
      <c r="E121" s="9">
        <v>2</v>
      </c>
      <c r="F121" s="9">
        <v>122</v>
      </c>
      <c r="G121" s="1">
        <v>0</v>
      </c>
      <c r="H121" s="9">
        <v>0</v>
      </c>
      <c r="I121" s="9">
        <v>101</v>
      </c>
      <c r="J121" s="1">
        <v>0</v>
      </c>
      <c r="K121" s="9">
        <v>9</v>
      </c>
      <c r="L121" s="9"/>
      <c r="M121" s="9">
        <v>0</v>
      </c>
      <c r="N121" s="9">
        <v>2</v>
      </c>
      <c r="O121" s="1" t="str">
        <f>VLOOKUP(B121,Sheet2!A:G,7,0)</f>
        <v>{2,1000}</v>
      </c>
      <c r="P121" s="1" t="s">
        <v>44</v>
      </c>
      <c r="Q121" s="9">
        <v>9</v>
      </c>
      <c r="R121" s="9"/>
      <c r="S121" s="30">
        <v>2</v>
      </c>
      <c r="T121" s="9" t="s">
        <v>337</v>
      </c>
    </row>
    <row r="122" spans="1:20">
      <c r="A122" s="9"/>
      <c r="B122" s="9">
        <v>10710</v>
      </c>
      <c r="C122" s="9" t="s">
        <v>363</v>
      </c>
      <c r="D122" s="9">
        <v>8</v>
      </c>
      <c r="E122" s="9">
        <v>2</v>
      </c>
      <c r="F122" s="9">
        <v>122</v>
      </c>
      <c r="G122" s="1">
        <v>0</v>
      </c>
      <c r="H122" s="9">
        <v>0</v>
      </c>
      <c r="I122" s="9">
        <v>101</v>
      </c>
      <c r="J122" s="1">
        <v>0</v>
      </c>
      <c r="K122" s="9">
        <v>10</v>
      </c>
      <c r="L122" s="9"/>
      <c r="M122" s="9">
        <v>0</v>
      </c>
      <c r="N122" s="9">
        <v>3</v>
      </c>
      <c r="O122" s="1" t="str">
        <f>VLOOKUP(B122,Sheet2!A:G,7,0)</f>
        <v>{2,1500}</v>
      </c>
      <c r="P122" s="1" t="s">
        <v>44</v>
      </c>
      <c r="Q122" s="9">
        <v>10</v>
      </c>
      <c r="R122" s="9"/>
      <c r="S122" s="28">
        <v>3</v>
      </c>
      <c r="T122" s="9" t="s">
        <v>303</v>
      </c>
    </row>
    <row r="123" spans="1:20">
      <c r="A123" s="9"/>
      <c r="B123" s="9">
        <v>10711</v>
      </c>
      <c r="C123" s="9" t="s">
        <v>364</v>
      </c>
      <c r="D123" s="9">
        <v>8</v>
      </c>
      <c r="E123" s="9">
        <v>2</v>
      </c>
      <c r="F123" s="9">
        <v>122</v>
      </c>
      <c r="G123" s="1">
        <v>0</v>
      </c>
      <c r="H123" s="9">
        <v>0</v>
      </c>
      <c r="I123" s="9">
        <v>102</v>
      </c>
      <c r="J123" s="1">
        <v>0</v>
      </c>
      <c r="K123" s="9">
        <v>1</v>
      </c>
      <c r="L123" s="9"/>
      <c r="M123" s="9">
        <v>0</v>
      </c>
      <c r="N123" s="9">
        <v>0</v>
      </c>
      <c r="O123" s="1" t="str">
        <f>VLOOKUP(B123,Sheet2!A:G,7,0)</f>
        <v>{2,200}</v>
      </c>
      <c r="P123" s="1" t="s">
        <v>44</v>
      </c>
      <c r="Q123" s="9">
        <v>1</v>
      </c>
      <c r="R123" s="9"/>
      <c r="S123" s="28">
        <v>1</v>
      </c>
      <c r="T123" s="9" t="s">
        <v>325</v>
      </c>
    </row>
    <row r="124" spans="1:20">
      <c r="A124" s="9"/>
      <c r="B124" s="9">
        <v>10712</v>
      </c>
      <c r="C124" s="9" t="s">
        <v>365</v>
      </c>
      <c r="D124" s="9">
        <v>8</v>
      </c>
      <c r="E124" s="9">
        <v>2</v>
      </c>
      <c r="F124" s="9">
        <v>122</v>
      </c>
      <c r="G124" s="1">
        <v>0</v>
      </c>
      <c r="H124" s="9">
        <v>0</v>
      </c>
      <c r="I124" s="9">
        <v>102</v>
      </c>
      <c r="J124" s="1">
        <v>0</v>
      </c>
      <c r="K124" s="9">
        <v>2</v>
      </c>
      <c r="L124" s="9"/>
      <c r="M124" s="9">
        <v>0</v>
      </c>
      <c r="N124" s="9">
        <v>0</v>
      </c>
      <c r="O124" s="1" t="str">
        <f>VLOOKUP(B124,Sheet2!A:G,7,0)</f>
        <v>{2,300}</v>
      </c>
      <c r="P124" s="1" t="s">
        <v>44</v>
      </c>
      <c r="Q124" s="9">
        <v>2</v>
      </c>
      <c r="R124" s="9"/>
      <c r="S124" s="28">
        <v>1</v>
      </c>
      <c r="T124" s="9" t="s">
        <v>325</v>
      </c>
    </row>
    <row r="125" spans="1:20">
      <c r="A125" s="9"/>
      <c r="B125" s="9">
        <v>10713</v>
      </c>
      <c r="C125" s="9" t="s">
        <v>366</v>
      </c>
      <c r="D125" s="9">
        <v>8</v>
      </c>
      <c r="E125" s="9">
        <v>2</v>
      </c>
      <c r="F125" s="9">
        <v>122</v>
      </c>
      <c r="G125" s="1">
        <v>0</v>
      </c>
      <c r="H125" s="9">
        <v>0</v>
      </c>
      <c r="I125" s="9">
        <v>102</v>
      </c>
      <c r="J125" s="1">
        <v>0</v>
      </c>
      <c r="K125" s="9">
        <v>3</v>
      </c>
      <c r="L125" s="9"/>
      <c r="M125" s="9">
        <v>0</v>
      </c>
      <c r="N125" s="9">
        <v>1</v>
      </c>
      <c r="O125" s="1" t="str">
        <f>VLOOKUP(B125,Sheet2!A:G,7,0)</f>
        <v>{2,400}</v>
      </c>
      <c r="P125" s="1" t="s">
        <v>44</v>
      </c>
      <c r="Q125" s="9">
        <v>3</v>
      </c>
      <c r="R125" s="9"/>
      <c r="S125" s="28">
        <v>1</v>
      </c>
      <c r="T125" s="9" t="s">
        <v>325</v>
      </c>
    </row>
    <row r="126" spans="1:20">
      <c r="A126" s="9"/>
      <c r="B126" s="9">
        <v>10714</v>
      </c>
      <c r="C126" s="9" t="s">
        <v>367</v>
      </c>
      <c r="D126" s="9">
        <v>8</v>
      </c>
      <c r="E126" s="9">
        <v>2</v>
      </c>
      <c r="F126" s="9">
        <v>122</v>
      </c>
      <c r="G126" s="1">
        <v>0</v>
      </c>
      <c r="H126" s="9">
        <v>0</v>
      </c>
      <c r="I126" s="9">
        <v>102</v>
      </c>
      <c r="J126" s="1">
        <v>0</v>
      </c>
      <c r="K126" s="9">
        <v>4</v>
      </c>
      <c r="L126" s="9"/>
      <c r="M126" s="9">
        <v>0</v>
      </c>
      <c r="N126" s="9">
        <v>1</v>
      </c>
      <c r="O126" s="1" t="str">
        <f>VLOOKUP(B126,Sheet2!A:G,7,0)</f>
        <v>{2,500}</v>
      </c>
      <c r="P126" s="1" t="s">
        <v>44</v>
      </c>
      <c r="Q126" s="9">
        <v>4</v>
      </c>
      <c r="R126" s="9"/>
      <c r="S126" s="28">
        <v>1</v>
      </c>
      <c r="T126" s="9" t="s">
        <v>332</v>
      </c>
    </row>
    <row r="127" spans="1:20">
      <c r="A127" s="9"/>
      <c r="B127" s="9">
        <v>10715</v>
      </c>
      <c r="C127" s="9" t="s">
        <v>368</v>
      </c>
      <c r="D127" s="9">
        <v>8</v>
      </c>
      <c r="E127" s="9">
        <v>2</v>
      </c>
      <c r="F127" s="9">
        <v>122</v>
      </c>
      <c r="G127" s="1">
        <v>0</v>
      </c>
      <c r="H127" s="9">
        <v>0</v>
      </c>
      <c r="I127" s="9">
        <v>102</v>
      </c>
      <c r="J127" s="1">
        <v>0</v>
      </c>
      <c r="K127" s="9">
        <v>5</v>
      </c>
      <c r="L127" s="9"/>
      <c r="M127" s="9">
        <v>0</v>
      </c>
      <c r="N127" s="9">
        <v>2</v>
      </c>
      <c r="O127" s="1" t="str">
        <f>VLOOKUP(B127,Sheet2!A:G,7,0)</f>
        <v>{2,600}</v>
      </c>
      <c r="P127" s="1" t="s">
        <v>44</v>
      </c>
      <c r="Q127" s="9">
        <v>5</v>
      </c>
      <c r="R127" s="9"/>
      <c r="S127" s="28">
        <v>1</v>
      </c>
      <c r="T127" s="9" t="s">
        <v>332</v>
      </c>
    </row>
    <row r="128" spans="1:20">
      <c r="A128" s="9"/>
      <c r="B128" s="9">
        <v>10716</v>
      </c>
      <c r="C128" s="9" t="s">
        <v>369</v>
      </c>
      <c r="D128" s="9">
        <v>8</v>
      </c>
      <c r="E128" s="9">
        <v>2</v>
      </c>
      <c r="F128" s="9">
        <v>122</v>
      </c>
      <c r="G128" s="1">
        <v>0</v>
      </c>
      <c r="H128" s="9">
        <v>0</v>
      </c>
      <c r="I128" s="9">
        <v>102</v>
      </c>
      <c r="J128" s="1">
        <v>0</v>
      </c>
      <c r="K128" s="9">
        <v>6</v>
      </c>
      <c r="L128" s="9"/>
      <c r="M128" s="9">
        <v>0</v>
      </c>
      <c r="N128" s="9">
        <v>2</v>
      </c>
      <c r="O128" s="1" t="str">
        <f>VLOOKUP(B128,Sheet2!A:G,7,0)</f>
        <v>{2,700}</v>
      </c>
      <c r="P128" s="1" t="s">
        <v>44</v>
      </c>
      <c r="Q128" s="9">
        <v>6</v>
      </c>
      <c r="R128" s="9"/>
      <c r="S128" s="30">
        <v>2</v>
      </c>
      <c r="T128" s="9" t="s">
        <v>332</v>
      </c>
    </row>
    <row r="129" spans="1:20">
      <c r="A129" s="9"/>
      <c r="B129" s="9">
        <v>10717</v>
      </c>
      <c r="C129" s="9" t="s">
        <v>370</v>
      </c>
      <c r="D129" s="9">
        <v>8</v>
      </c>
      <c r="E129" s="9">
        <v>2</v>
      </c>
      <c r="F129" s="9">
        <v>122</v>
      </c>
      <c r="G129" s="1">
        <v>0</v>
      </c>
      <c r="H129" s="9">
        <v>0</v>
      </c>
      <c r="I129" s="9">
        <v>102</v>
      </c>
      <c r="J129" s="1">
        <v>0</v>
      </c>
      <c r="K129" s="9">
        <v>7</v>
      </c>
      <c r="L129" s="9"/>
      <c r="M129" s="9">
        <v>0</v>
      </c>
      <c r="N129" s="9">
        <v>2</v>
      </c>
      <c r="O129" s="1" t="str">
        <f>VLOOKUP(B129,Sheet2!A:G,7,0)</f>
        <v>{2,800}</v>
      </c>
      <c r="P129" s="1" t="s">
        <v>44</v>
      </c>
      <c r="Q129" s="9">
        <v>7</v>
      </c>
      <c r="R129" s="9"/>
      <c r="S129" s="30">
        <v>2</v>
      </c>
      <c r="T129" s="9" t="s">
        <v>337</v>
      </c>
    </row>
    <row r="130" spans="1:20">
      <c r="A130" s="9"/>
      <c r="B130" s="9">
        <v>10718</v>
      </c>
      <c r="C130" s="9" t="s">
        <v>371</v>
      </c>
      <c r="D130" s="9">
        <v>8</v>
      </c>
      <c r="E130" s="9">
        <v>2</v>
      </c>
      <c r="F130" s="9">
        <v>122</v>
      </c>
      <c r="G130" s="1">
        <v>0</v>
      </c>
      <c r="H130" s="9">
        <v>0</v>
      </c>
      <c r="I130" s="9">
        <v>102</v>
      </c>
      <c r="J130" s="1">
        <v>0</v>
      </c>
      <c r="K130" s="9">
        <v>8</v>
      </c>
      <c r="L130" s="9"/>
      <c r="M130" s="9">
        <v>0</v>
      </c>
      <c r="N130" s="9">
        <v>2</v>
      </c>
      <c r="O130" s="1" t="str">
        <f>VLOOKUP(B130,Sheet2!A:G,7,0)</f>
        <v>{2,900}</v>
      </c>
      <c r="P130" s="1" t="s">
        <v>44</v>
      </c>
      <c r="Q130" s="9">
        <v>8</v>
      </c>
      <c r="R130" s="9"/>
      <c r="S130" s="30">
        <v>2</v>
      </c>
      <c r="T130" s="9" t="s">
        <v>337</v>
      </c>
    </row>
    <row r="131" spans="1:20">
      <c r="A131" s="9"/>
      <c r="B131" s="9">
        <v>10719</v>
      </c>
      <c r="C131" s="9" t="s">
        <v>372</v>
      </c>
      <c r="D131" s="9">
        <v>8</v>
      </c>
      <c r="E131" s="9">
        <v>2</v>
      </c>
      <c r="F131" s="9">
        <v>122</v>
      </c>
      <c r="G131" s="1">
        <v>0</v>
      </c>
      <c r="H131" s="9">
        <v>0</v>
      </c>
      <c r="I131" s="9">
        <v>102</v>
      </c>
      <c r="J131" s="1">
        <v>0</v>
      </c>
      <c r="K131" s="9">
        <v>9</v>
      </c>
      <c r="L131" s="9"/>
      <c r="M131" s="9">
        <v>0</v>
      </c>
      <c r="N131" s="9">
        <v>2</v>
      </c>
      <c r="O131" s="1" t="str">
        <f>VLOOKUP(B131,Sheet2!A:G,7,0)</f>
        <v>{2,1000}</v>
      </c>
      <c r="P131" s="1" t="s">
        <v>44</v>
      </c>
      <c r="Q131" s="9">
        <v>9</v>
      </c>
      <c r="R131" s="9"/>
      <c r="S131" s="30">
        <v>2</v>
      </c>
      <c r="T131" s="9" t="s">
        <v>337</v>
      </c>
    </row>
    <row r="132" spans="1:20">
      <c r="A132" s="9"/>
      <c r="B132" s="9">
        <v>10720</v>
      </c>
      <c r="C132" s="9" t="s">
        <v>373</v>
      </c>
      <c r="D132" s="9">
        <v>8</v>
      </c>
      <c r="E132" s="9">
        <v>2</v>
      </c>
      <c r="F132" s="9">
        <v>122</v>
      </c>
      <c r="G132" s="1">
        <v>0</v>
      </c>
      <c r="H132" s="9">
        <v>0</v>
      </c>
      <c r="I132" s="9">
        <v>102</v>
      </c>
      <c r="J132" s="1">
        <v>0</v>
      </c>
      <c r="K132" s="9">
        <v>10</v>
      </c>
      <c r="L132" s="9"/>
      <c r="M132" s="9">
        <v>0</v>
      </c>
      <c r="N132" s="9">
        <v>3</v>
      </c>
      <c r="O132" s="1" t="str">
        <f>VLOOKUP(B132,Sheet2!A:G,7,0)</f>
        <v>{2,1500}</v>
      </c>
      <c r="P132" s="1" t="s">
        <v>44</v>
      </c>
      <c r="Q132" s="9">
        <v>10</v>
      </c>
      <c r="R132" s="9"/>
      <c r="S132" s="28">
        <v>3</v>
      </c>
      <c r="T132" s="9" t="s">
        <v>303</v>
      </c>
    </row>
    <row r="133" spans="1:20">
      <c r="A133" s="9"/>
      <c r="B133" s="9">
        <v>10721</v>
      </c>
      <c r="C133" s="9" t="s">
        <v>374</v>
      </c>
      <c r="D133" s="9">
        <v>8</v>
      </c>
      <c r="E133" s="9">
        <v>2</v>
      </c>
      <c r="F133" s="9">
        <v>122</v>
      </c>
      <c r="G133" s="1">
        <v>0</v>
      </c>
      <c r="H133" s="9">
        <v>0</v>
      </c>
      <c r="I133" s="9">
        <v>103</v>
      </c>
      <c r="J133" s="1">
        <v>0</v>
      </c>
      <c r="K133" s="9">
        <v>1</v>
      </c>
      <c r="L133" s="9"/>
      <c r="M133" s="9">
        <v>0</v>
      </c>
      <c r="N133" s="9">
        <v>0</v>
      </c>
      <c r="O133" s="1" t="str">
        <f>VLOOKUP(B133,Sheet2!A:G,7,0)</f>
        <v>{2,200}</v>
      </c>
      <c r="P133" s="1" t="s">
        <v>44</v>
      </c>
      <c r="Q133" s="9">
        <v>1</v>
      </c>
      <c r="R133" s="9"/>
      <c r="S133" s="28">
        <v>1</v>
      </c>
      <c r="T133" s="9" t="s">
        <v>325</v>
      </c>
    </row>
    <row r="134" spans="1:20">
      <c r="A134" s="9"/>
      <c r="B134" s="9">
        <v>10722</v>
      </c>
      <c r="C134" s="9" t="s">
        <v>375</v>
      </c>
      <c r="D134" s="9">
        <v>8</v>
      </c>
      <c r="E134" s="9">
        <v>2</v>
      </c>
      <c r="F134" s="9">
        <v>122</v>
      </c>
      <c r="G134" s="1">
        <v>0</v>
      </c>
      <c r="H134" s="9">
        <v>0</v>
      </c>
      <c r="I134" s="9">
        <v>103</v>
      </c>
      <c r="J134" s="1">
        <v>0</v>
      </c>
      <c r="K134" s="9">
        <v>2</v>
      </c>
      <c r="L134" s="9"/>
      <c r="M134" s="9">
        <v>0</v>
      </c>
      <c r="N134" s="9">
        <v>0</v>
      </c>
      <c r="O134" s="1" t="str">
        <f>VLOOKUP(B134,Sheet2!A:G,7,0)</f>
        <v>{2,300}</v>
      </c>
      <c r="P134" s="1" t="s">
        <v>44</v>
      </c>
      <c r="Q134" s="9">
        <v>2</v>
      </c>
      <c r="R134" s="9"/>
      <c r="S134" s="28">
        <v>1</v>
      </c>
      <c r="T134" s="9" t="s">
        <v>325</v>
      </c>
    </row>
    <row r="135" spans="1:20">
      <c r="A135" s="9"/>
      <c r="B135" s="9">
        <v>10723</v>
      </c>
      <c r="C135" s="9" t="s">
        <v>376</v>
      </c>
      <c r="D135" s="9">
        <v>8</v>
      </c>
      <c r="E135" s="9">
        <v>2</v>
      </c>
      <c r="F135" s="9">
        <v>122</v>
      </c>
      <c r="G135" s="1">
        <v>0</v>
      </c>
      <c r="H135" s="9">
        <v>0</v>
      </c>
      <c r="I135" s="9">
        <v>103</v>
      </c>
      <c r="J135" s="1">
        <v>0</v>
      </c>
      <c r="K135" s="9">
        <v>3</v>
      </c>
      <c r="L135" s="9"/>
      <c r="M135" s="9">
        <v>0</v>
      </c>
      <c r="N135" s="9">
        <v>1</v>
      </c>
      <c r="O135" s="1" t="str">
        <f>VLOOKUP(B135,Sheet2!A:G,7,0)</f>
        <v>{2,400}</v>
      </c>
      <c r="P135" s="1" t="s">
        <v>44</v>
      </c>
      <c r="Q135" s="9">
        <v>3</v>
      </c>
      <c r="R135" s="9"/>
      <c r="S135" s="28">
        <v>1</v>
      </c>
      <c r="T135" s="9" t="s">
        <v>325</v>
      </c>
    </row>
    <row r="136" spans="1:20">
      <c r="A136" s="9"/>
      <c r="B136" s="9">
        <v>10724</v>
      </c>
      <c r="C136" s="9" t="s">
        <v>377</v>
      </c>
      <c r="D136" s="9">
        <v>8</v>
      </c>
      <c r="E136" s="9">
        <v>2</v>
      </c>
      <c r="F136" s="9">
        <v>122</v>
      </c>
      <c r="G136" s="1">
        <v>0</v>
      </c>
      <c r="H136" s="9">
        <v>0</v>
      </c>
      <c r="I136" s="9">
        <v>103</v>
      </c>
      <c r="J136" s="1">
        <v>0</v>
      </c>
      <c r="K136" s="9">
        <v>4</v>
      </c>
      <c r="L136" s="9"/>
      <c r="M136" s="9">
        <v>0</v>
      </c>
      <c r="N136" s="9">
        <v>1</v>
      </c>
      <c r="O136" s="1" t="str">
        <f>VLOOKUP(B136,Sheet2!A:G,7,0)</f>
        <v>{2,500}</v>
      </c>
      <c r="P136" s="1" t="s">
        <v>44</v>
      </c>
      <c r="Q136" s="9">
        <v>4</v>
      </c>
      <c r="R136" s="9"/>
      <c r="S136" s="28">
        <v>1</v>
      </c>
      <c r="T136" s="9" t="s">
        <v>332</v>
      </c>
    </row>
    <row r="137" spans="1:20">
      <c r="A137" s="9"/>
      <c r="B137" s="9">
        <v>10725</v>
      </c>
      <c r="C137" s="9" t="s">
        <v>378</v>
      </c>
      <c r="D137" s="9">
        <v>8</v>
      </c>
      <c r="E137" s="9">
        <v>2</v>
      </c>
      <c r="F137" s="9">
        <v>122</v>
      </c>
      <c r="G137" s="1">
        <v>0</v>
      </c>
      <c r="H137" s="9">
        <v>0</v>
      </c>
      <c r="I137" s="9">
        <v>103</v>
      </c>
      <c r="J137" s="1">
        <v>0</v>
      </c>
      <c r="K137" s="9">
        <v>5</v>
      </c>
      <c r="L137" s="9"/>
      <c r="M137" s="9">
        <v>0</v>
      </c>
      <c r="N137" s="9">
        <v>2</v>
      </c>
      <c r="O137" s="1" t="str">
        <f>VLOOKUP(B137,Sheet2!A:G,7,0)</f>
        <v>{2,600}</v>
      </c>
      <c r="P137" s="1" t="s">
        <v>44</v>
      </c>
      <c r="Q137" s="9">
        <v>5</v>
      </c>
      <c r="R137" s="9"/>
      <c r="S137" s="28">
        <v>1</v>
      </c>
      <c r="T137" s="9" t="s">
        <v>332</v>
      </c>
    </row>
    <row r="138" spans="1:20">
      <c r="A138" s="9"/>
      <c r="B138" s="9">
        <v>10726</v>
      </c>
      <c r="C138" s="9" t="s">
        <v>379</v>
      </c>
      <c r="D138" s="9">
        <v>8</v>
      </c>
      <c r="E138" s="9">
        <v>2</v>
      </c>
      <c r="F138" s="9">
        <v>122</v>
      </c>
      <c r="G138" s="1">
        <v>0</v>
      </c>
      <c r="H138" s="9">
        <v>0</v>
      </c>
      <c r="I138" s="9">
        <v>103</v>
      </c>
      <c r="J138" s="1">
        <v>0</v>
      </c>
      <c r="K138" s="9">
        <v>6</v>
      </c>
      <c r="L138" s="9"/>
      <c r="M138" s="9">
        <v>0</v>
      </c>
      <c r="N138" s="9">
        <v>2</v>
      </c>
      <c r="O138" s="1" t="str">
        <f>VLOOKUP(B138,Sheet2!A:G,7,0)</f>
        <v>{2,700}</v>
      </c>
      <c r="P138" s="1" t="s">
        <v>44</v>
      </c>
      <c r="Q138" s="9">
        <v>6</v>
      </c>
      <c r="R138" s="9"/>
      <c r="S138" s="30">
        <v>2</v>
      </c>
      <c r="T138" s="9" t="s">
        <v>332</v>
      </c>
    </row>
    <row r="139" spans="1:20">
      <c r="A139" s="9"/>
      <c r="B139" s="9">
        <v>10727</v>
      </c>
      <c r="C139" s="9" t="s">
        <v>380</v>
      </c>
      <c r="D139" s="9">
        <v>8</v>
      </c>
      <c r="E139" s="9">
        <v>2</v>
      </c>
      <c r="F139" s="9">
        <v>122</v>
      </c>
      <c r="G139" s="1">
        <v>0</v>
      </c>
      <c r="H139" s="9">
        <v>0</v>
      </c>
      <c r="I139" s="9">
        <v>103</v>
      </c>
      <c r="J139" s="1">
        <v>0</v>
      </c>
      <c r="K139" s="9">
        <v>7</v>
      </c>
      <c r="L139" s="9"/>
      <c r="M139" s="9">
        <v>0</v>
      </c>
      <c r="N139" s="9">
        <v>2</v>
      </c>
      <c r="O139" s="1" t="str">
        <f>VLOOKUP(B139,Sheet2!A:G,7,0)</f>
        <v>{2,800}</v>
      </c>
      <c r="P139" s="1" t="s">
        <v>44</v>
      </c>
      <c r="Q139" s="9">
        <v>7</v>
      </c>
      <c r="R139" s="9"/>
      <c r="S139" s="30">
        <v>2</v>
      </c>
      <c r="T139" s="9" t="s">
        <v>337</v>
      </c>
    </row>
    <row r="140" spans="1:20">
      <c r="A140" s="9"/>
      <c r="B140" s="9">
        <v>10728</v>
      </c>
      <c r="C140" s="9" t="s">
        <v>381</v>
      </c>
      <c r="D140" s="9">
        <v>8</v>
      </c>
      <c r="E140" s="9">
        <v>2</v>
      </c>
      <c r="F140" s="9">
        <v>122</v>
      </c>
      <c r="G140" s="1">
        <v>0</v>
      </c>
      <c r="H140" s="9">
        <v>0</v>
      </c>
      <c r="I140" s="9">
        <v>103</v>
      </c>
      <c r="J140" s="1">
        <v>0</v>
      </c>
      <c r="K140" s="9">
        <v>8</v>
      </c>
      <c r="L140" s="9"/>
      <c r="M140" s="9">
        <v>0</v>
      </c>
      <c r="N140" s="9">
        <v>2</v>
      </c>
      <c r="O140" s="1" t="str">
        <f>VLOOKUP(B140,Sheet2!A:G,7,0)</f>
        <v>{2,900}</v>
      </c>
      <c r="P140" s="1" t="s">
        <v>44</v>
      </c>
      <c r="Q140" s="9">
        <v>8</v>
      </c>
      <c r="R140" s="9"/>
      <c r="S140" s="30">
        <v>2</v>
      </c>
      <c r="T140" s="9" t="s">
        <v>337</v>
      </c>
    </row>
    <row r="141" spans="1:20">
      <c r="A141" s="9"/>
      <c r="B141" s="9">
        <v>10729</v>
      </c>
      <c r="C141" s="9" t="s">
        <v>382</v>
      </c>
      <c r="D141" s="9">
        <v>8</v>
      </c>
      <c r="E141" s="9">
        <v>2</v>
      </c>
      <c r="F141" s="9">
        <v>122</v>
      </c>
      <c r="G141" s="1">
        <v>0</v>
      </c>
      <c r="H141" s="9">
        <v>0</v>
      </c>
      <c r="I141" s="9">
        <v>103</v>
      </c>
      <c r="J141" s="1">
        <v>0</v>
      </c>
      <c r="K141" s="9">
        <v>9</v>
      </c>
      <c r="L141" s="9"/>
      <c r="M141" s="9">
        <v>0</v>
      </c>
      <c r="N141" s="9">
        <v>2</v>
      </c>
      <c r="O141" s="1" t="str">
        <f>VLOOKUP(B141,Sheet2!A:G,7,0)</f>
        <v>{2,1000}</v>
      </c>
      <c r="P141" s="1" t="s">
        <v>44</v>
      </c>
      <c r="Q141" s="9">
        <v>9</v>
      </c>
      <c r="R141" s="9"/>
      <c r="S141" s="30">
        <v>2</v>
      </c>
      <c r="T141" s="9" t="s">
        <v>337</v>
      </c>
    </row>
    <row r="142" spans="1:20">
      <c r="A142" s="9"/>
      <c r="B142" s="9">
        <v>10730</v>
      </c>
      <c r="C142" s="9" t="s">
        <v>383</v>
      </c>
      <c r="D142" s="9">
        <v>8</v>
      </c>
      <c r="E142" s="9">
        <v>2</v>
      </c>
      <c r="F142" s="9">
        <v>122</v>
      </c>
      <c r="G142" s="1">
        <v>0</v>
      </c>
      <c r="H142" s="9">
        <v>0</v>
      </c>
      <c r="I142" s="9">
        <v>103</v>
      </c>
      <c r="J142" s="1">
        <v>0</v>
      </c>
      <c r="K142" s="9">
        <v>10</v>
      </c>
      <c r="L142" s="9"/>
      <c r="M142" s="9">
        <v>0</v>
      </c>
      <c r="N142" s="9">
        <v>3</v>
      </c>
      <c r="O142" s="1" t="str">
        <f>VLOOKUP(B142,Sheet2!A:G,7,0)</f>
        <v>{2,1500}</v>
      </c>
      <c r="P142" s="1" t="s">
        <v>44</v>
      </c>
      <c r="Q142" s="9">
        <v>10</v>
      </c>
      <c r="R142" s="9"/>
      <c r="S142" s="28">
        <v>3</v>
      </c>
      <c r="T142" s="9" t="s">
        <v>303</v>
      </c>
    </row>
    <row r="143" spans="1:20">
      <c r="A143" s="9"/>
      <c r="B143" s="9">
        <v>10731</v>
      </c>
      <c r="C143" s="9" t="s">
        <v>384</v>
      </c>
      <c r="D143" s="9">
        <v>8</v>
      </c>
      <c r="E143" s="9">
        <v>2</v>
      </c>
      <c r="F143" s="9">
        <v>122</v>
      </c>
      <c r="G143" s="1">
        <v>0</v>
      </c>
      <c r="H143" s="9">
        <v>0</v>
      </c>
      <c r="I143" s="9">
        <v>104</v>
      </c>
      <c r="J143" s="1">
        <v>0</v>
      </c>
      <c r="K143" s="9">
        <v>1</v>
      </c>
      <c r="L143" s="9"/>
      <c r="M143" s="9">
        <v>0</v>
      </c>
      <c r="N143" s="9">
        <v>0</v>
      </c>
      <c r="O143" s="1" t="str">
        <f>VLOOKUP(B143,Sheet2!A:G,7,0)</f>
        <v>{2,200}</v>
      </c>
      <c r="P143" s="1" t="s">
        <v>44</v>
      </c>
      <c r="Q143" s="9">
        <v>1</v>
      </c>
      <c r="R143" s="9"/>
      <c r="S143" s="28">
        <v>1</v>
      </c>
      <c r="T143" s="9" t="s">
        <v>325</v>
      </c>
    </row>
    <row r="144" spans="1:20">
      <c r="A144" s="9"/>
      <c r="B144" s="9">
        <v>10732</v>
      </c>
      <c r="C144" s="9" t="s">
        <v>385</v>
      </c>
      <c r="D144" s="9">
        <v>8</v>
      </c>
      <c r="E144" s="9">
        <v>2</v>
      </c>
      <c r="F144" s="9">
        <v>122</v>
      </c>
      <c r="G144" s="1">
        <v>0</v>
      </c>
      <c r="H144" s="9">
        <v>0</v>
      </c>
      <c r="I144" s="9">
        <v>104</v>
      </c>
      <c r="J144" s="1">
        <v>0</v>
      </c>
      <c r="K144" s="9">
        <v>2</v>
      </c>
      <c r="L144" s="9"/>
      <c r="M144" s="9">
        <v>0</v>
      </c>
      <c r="N144" s="9">
        <v>0</v>
      </c>
      <c r="O144" s="1" t="str">
        <f>VLOOKUP(B144,Sheet2!A:G,7,0)</f>
        <v>{2,300}</v>
      </c>
      <c r="P144" s="1" t="s">
        <v>44</v>
      </c>
      <c r="Q144" s="9">
        <v>2</v>
      </c>
      <c r="R144" s="9"/>
      <c r="S144" s="28">
        <v>1</v>
      </c>
      <c r="T144" s="9" t="s">
        <v>325</v>
      </c>
    </row>
    <row r="145" spans="1:20">
      <c r="A145" s="9"/>
      <c r="B145" s="9">
        <v>10733</v>
      </c>
      <c r="C145" s="9" t="s">
        <v>386</v>
      </c>
      <c r="D145" s="9">
        <v>8</v>
      </c>
      <c r="E145" s="9">
        <v>2</v>
      </c>
      <c r="F145" s="9">
        <v>122</v>
      </c>
      <c r="G145" s="1">
        <v>0</v>
      </c>
      <c r="H145" s="9">
        <v>0</v>
      </c>
      <c r="I145" s="9">
        <v>104</v>
      </c>
      <c r="J145" s="1">
        <v>0</v>
      </c>
      <c r="K145" s="9">
        <v>3</v>
      </c>
      <c r="L145" s="9"/>
      <c r="M145" s="9">
        <v>0</v>
      </c>
      <c r="N145" s="9">
        <v>1</v>
      </c>
      <c r="O145" s="1" t="str">
        <f>VLOOKUP(B145,Sheet2!A:G,7,0)</f>
        <v>{2,400}</v>
      </c>
      <c r="P145" s="1" t="s">
        <v>44</v>
      </c>
      <c r="Q145" s="9">
        <v>3</v>
      </c>
      <c r="R145" s="9"/>
      <c r="S145" s="28">
        <v>1</v>
      </c>
      <c r="T145" s="9" t="s">
        <v>325</v>
      </c>
    </row>
    <row r="146" spans="1:20">
      <c r="A146" s="9"/>
      <c r="B146" s="9">
        <v>10734</v>
      </c>
      <c r="C146" s="9" t="s">
        <v>387</v>
      </c>
      <c r="D146" s="9">
        <v>8</v>
      </c>
      <c r="E146" s="9">
        <v>2</v>
      </c>
      <c r="F146" s="9">
        <v>122</v>
      </c>
      <c r="G146" s="1">
        <v>0</v>
      </c>
      <c r="H146" s="9">
        <v>0</v>
      </c>
      <c r="I146" s="9">
        <v>104</v>
      </c>
      <c r="J146" s="1">
        <v>0</v>
      </c>
      <c r="K146" s="9">
        <v>4</v>
      </c>
      <c r="L146" s="9"/>
      <c r="M146" s="9">
        <v>0</v>
      </c>
      <c r="N146" s="9">
        <v>1</v>
      </c>
      <c r="O146" s="1" t="str">
        <f>VLOOKUP(B146,Sheet2!A:G,7,0)</f>
        <v>{2,500}</v>
      </c>
      <c r="P146" s="1" t="s">
        <v>44</v>
      </c>
      <c r="Q146" s="9">
        <v>4</v>
      </c>
      <c r="R146" s="9"/>
      <c r="S146" s="28">
        <v>1</v>
      </c>
      <c r="T146" s="9" t="s">
        <v>332</v>
      </c>
    </row>
    <row r="147" spans="1:20">
      <c r="A147" s="9"/>
      <c r="B147" s="9">
        <v>10735</v>
      </c>
      <c r="C147" s="9" t="s">
        <v>388</v>
      </c>
      <c r="D147" s="9">
        <v>8</v>
      </c>
      <c r="E147" s="9">
        <v>2</v>
      </c>
      <c r="F147" s="9">
        <v>122</v>
      </c>
      <c r="G147" s="1">
        <v>0</v>
      </c>
      <c r="H147" s="9">
        <v>0</v>
      </c>
      <c r="I147" s="9">
        <v>104</v>
      </c>
      <c r="J147" s="1">
        <v>0</v>
      </c>
      <c r="K147" s="9">
        <v>5</v>
      </c>
      <c r="L147" s="9"/>
      <c r="M147" s="9">
        <v>0</v>
      </c>
      <c r="N147" s="9">
        <v>2</v>
      </c>
      <c r="O147" s="1" t="str">
        <f>VLOOKUP(B147,Sheet2!A:G,7,0)</f>
        <v>{2,600}</v>
      </c>
      <c r="P147" s="1" t="s">
        <v>44</v>
      </c>
      <c r="Q147" s="9">
        <v>5</v>
      </c>
      <c r="R147" s="9"/>
      <c r="S147" s="28">
        <v>1</v>
      </c>
      <c r="T147" s="9" t="s">
        <v>332</v>
      </c>
    </row>
    <row r="148" spans="1:20">
      <c r="A148" s="9"/>
      <c r="B148" s="9">
        <v>10736</v>
      </c>
      <c r="C148" s="9" t="s">
        <v>389</v>
      </c>
      <c r="D148" s="9">
        <v>8</v>
      </c>
      <c r="E148" s="9">
        <v>2</v>
      </c>
      <c r="F148" s="9">
        <v>122</v>
      </c>
      <c r="G148" s="1">
        <v>0</v>
      </c>
      <c r="H148" s="9">
        <v>0</v>
      </c>
      <c r="I148" s="9">
        <v>104</v>
      </c>
      <c r="J148" s="1">
        <v>0</v>
      </c>
      <c r="K148" s="9">
        <v>6</v>
      </c>
      <c r="L148" s="9"/>
      <c r="M148" s="9">
        <v>0</v>
      </c>
      <c r="N148" s="9">
        <v>2</v>
      </c>
      <c r="O148" s="1" t="str">
        <f>VLOOKUP(B148,Sheet2!A:G,7,0)</f>
        <v>{2,700}</v>
      </c>
      <c r="P148" s="1" t="s">
        <v>44</v>
      </c>
      <c r="Q148" s="9">
        <v>6</v>
      </c>
      <c r="R148" s="9"/>
      <c r="S148" s="30">
        <v>2</v>
      </c>
      <c r="T148" s="9" t="s">
        <v>332</v>
      </c>
    </row>
    <row r="149" spans="1:20">
      <c r="A149" s="9"/>
      <c r="B149" s="9">
        <v>10737</v>
      </c>
      <c r="C149" s="9" t="s">
        <v>390</v>
      </c>
      <c r="D149" s="9">
        <v>8</v>
      </c>
      <c r="E149" s="9">
        <v>2</v>
      </c>
      <c r="F149" s="9">
        <v>122</v>
      </c>
      <c r="G149" s="1">
        <v>0</v>
      </c>
      <c r="H149" s="9">
        <v>0</v>
      </c>
      <c r="I149" s="9">
        <v>104</v>
      </c>
      <c r="J149" s="1">
        <v>0</v>
      </c>
      <c r="K149" s="9">
        <v>7</v>
      </c>
      <c r="L149" s="9"/>
      <c r="M149" s="9">
        <v>0</v>
      </c>
      <c r="N149" s="9">
        <v>2</v>
      </c>
      <c r="O149" s="1" t="str">
        <f>VLOOKUP(B149,Sheet2!A:G,7,0)</f>
        <v>{2,800}</v>
      </c>
      <c r="P149" s="1" t="s">
        <v>44</v>
      </c>
      <c r="Q149" s="9">
        <v>7</v>
      </c>
      <c r="R149" s="9"/>
      <c r="S149" s="30">
        <v>2</v>
      </c>
      <c r="T149" s="9" t="s">
        <v>337</v>
      </c>
    </row>
    <row r="150" spans="1:20">
      <c r="A150" s="9"/>
      <c r="B150" s="9">
        <v>10738</v>
      </c>
      <c r="C150" s="9" t="s">
        <v>391</v>
      </c>
      <c r="D150" s="9">
        <v>8</v>
      </c>
      <c r="E150" s="9">
        <v>2</v>
      </c>
      <c r="F150" s="9">
        <v>122</v>
      </c>
      <c r="G150" s="1">
        <v>0</v>
      </c>
      <c r="H150" s="9">
        <v>0</v>
      </c>
      <c r="I150" s="9">
        <v>104</v>
      </c>
      <c r="J150" s="1">
        <v>0</v>
      </c>
      <c r="K150" s="9">
        <v>8</v>
      </c>
      <c r="L150" s="9"/>
      <c r="M150" s="9">
        <v>0</v>
      </c>
      <c r="N150" s="9">
        <v>2</v>
      </c>
      <c r="O150" s="1" t="str">
        <f>VLOOKUP(B150,Sheet2!A:G,7,0)</f>
        <v>{2,900}</v>
      </c>
      <c r="P150" s="1" t="s">
        <v>44</v>
      </c>
      <c r="Q150" s="9">
        <v>8</v>
      </c>
      <c r="R150" s="9"/>
      <c r="S150" s="30">
        <v>2</v>
      </c>
      <c r="T150" s="9" t="s">
        <v>337</v>
      </c>
    </row>
    <row r="151" spans="1:20">
      <c r="A151" s="9"/>
      <c r="B151" s="9">
        <v>10739</v>
      </c>
      <c r="C151" s="9" t="s">
        <v>392</v>
      </c>
      <c r="D151" s="9">
        <v>8</v>
      </c>
      <c r="E151" s="9">
        <v>2</v>
      </c>
      <c r="F151" s="9">
        <v>122</v>
      </c>
      <c r="G151" s="1">
        <v>0</v>
      </c>
      <c r="H151" s="9">
        <v>0</v>
      </c>
      <c r="I151" s="9">
        <v>104</v>
      </c>
      <c r="J151" s="1">
        <v>0</v>
      </c>
      <c r="K151" s="9">
        <v>9</v>
      </c>
      <c r="L151" s="9"/>
      <c r="M151" s="9">
        <v>0</v>
      </c>
      <c r="N151" s="9">
        <v>2</v>
      </c>
      <c r="O151" s="1" t="str">
        <f>VLOOKUP(B151,Sheet2!A:G,7,0)</f>
        <v>{2,1000}</v>
      </c>
      <c r="P151" s="1" t="s">
        <v>44</v>
      </c>
      <c r="Q151" s="9">
        <v>9</v>
      </c>
      <c r="R151" s="9"/>
      <c r="S151" s="30">
        <v>2</v>
      </c>
      <c r="T151" s="9" t="s">
        <v>337</v>
      </c>
    </row>
    <row r="152" spans="1:20">
      <c r="A152" s="9"/>
      <c r="B152" s="9">
        <v>10740</v>
      </c>
      <c r="C152" s="9" t="s">
        <v>393</v>
      </c>
      <c r="D152" s="9">
        <v>8</v>
      </c>
      <c r="E152" s="9">
        <v>2</v>
      </c>
      <c r="F152" s="9">
        <v>122</v>
      </c>
      <c r="G152" s="1">
        <v>0</v>
      </c>
      <c r="H152" s="9">
        <v>0</v>
      </c>
      <c r="I152" s="9">
        <v>104</v>
      </c>
      <c r="J152" s="1">
        <v>0</v>
      </c>
      <c r="K152" s="9">
        <v>10</v>
      </c>
      <c r="L152" s="9"/>
      <c r="M152" s="9">
        <v>0</v>
      </c>
      <c r="N152" s="9">
        <v>3</v>
      </c>
      <c r="O152" s="1" t="str">
        <f>VLOOKUP(B152,Sheet2!A:G,7,0)</f>
        <v>{2,1500}</v>
      </c>
      <c r="P152" s="1" t="s">
        <v>44</v>
      </c>
      <c r="Q152" s="9">
        <v>10</v>
      </c>
      <c r="R152" s="9"/>
      <c r="S152" s="28">
        <v>3</v>
      </c>
      <c r="T152" s="9" t="s">
        <v>303</v>
      </c>
    </row>
    <row r="153" spans="1:20">
      <c r="A153" s="9"/>
      <c r="B153" s="9">
        <v>10741</v>
      </c>
      <c r="C153" s="9" t="s">
        <v>394</v>
      </c>
      <c r="D153" s="9">
        <v>8</v>
      </c>
      <c r="E153" s="9">
        <v>2</v>
      </c>
      <c r="F153" s="9">
        <v>122</v>
      </c>
      <c r="G153" s="1">
        <v>0</v>
      </c>
      <c r="H153" s="9">
        <v>0</v>
      </c>
      <c r="I153" s="9">
        <v>105</v>
      </c>
      <c r="J153" s="1">
        <v>0</v>
      </c>
      <c r="K153" s="9">
        <v>1</v>
      </c>
      <c r="L153" s="9"/>
      <c r="M153" s="9">
        <v>0</v>
      </c>
      <c r="N153" s="9">
        <v>0</v>
      </c>
      <c r="O153" s="1" t="str">
        <f>VLOOKUP(B153,Sheet2!A:G,7,0)</f>
        <v>{2,200}</v>
      </c>
      <c r="P153" s="1" t="s">
        <v>44</v>
      </c>
      <c r="Q153" s="9">
        <v>1</v>
      </c>
      <c r="R153" s="9"/>
      <c r="S153" s="28">
        <v>1</v>
      </c>
      <c r="T153" s="9" t="s">
        <v>325</v>
      </c>
    </row>
    <row r="154" spans="1:20">
      <c r="A154" s="9"/>
      <c r="B154" s="9">
        <v>10742</v>
      </c>
      <c r="C154" s="9" t="s">
        <v>395</v>
      </c>
      <c r="D154" s="9">
        <v>8</v>
      </c>
      <c r="E154" s="9">
        <v>2</v>
      </c>
      <c r="F154" s="9">
        <v>122</v>
      </c>
      <c r="G154" s="1">
        <v>0</v>
      </c>
      <c r="H154" s="9">
        <v>0</v>
      </c>
      <c r="I154" s="9">
        <v>105</v>
      </c>
      <c r="J154" s="1">
        <v>0</v>
      </c>
      <c r="K154" s="9">
        <v>2</v>
      </c>
      <c r="L154" s="9"/>
      <c r="M154" s="9">
        <v>0</v>
      </c>
      <c r="N154" s="9">
        <v>0</v>
      </c>
      <c r="O154" s="1" t="str">
        <f>VLOOKUP(B154,Sheet2!A:G,7,0)</f>
        <v>{2,300}</v>
      </c>
      <c r="P154" s="1" t="s">
        <v>44</v>
      </c>
      <c r="Q154" s="9">
        <v>2</v>
      </c>
      <c r="R154" s="9"/>
      <c r="S154" s="28">
        <v>1</v>
      </c>
      <c r="T154" s="9" t="s">
        <v>325</v>
      </c>
    </row>
    <row r="155" spans="1:20">
      <c r="A155" s="9"/>
      <c r="B155" s="9">
        <v>10743</v>
      </c>
      <c r="C155" s="9" t="s">
        <v>396</v>
      </c>
      <c r="D155" s="9">
        <v>8</v>
      </c>
      <c r="E155" s="9">
        <v>2</v>
      </c>
      <c r="F155" s="9">
        <v>122</v>
      </c>
      <c r="G155" s="1">
        <v>0</v>
      </c>
      <c r="H155" s="9">
        <v>0</v>
      </c>
      <c r="I155" s="9">
        <v>105</v>
      </c>
      <c r="J155" s="1">
        <v>0</v>
      </c>
      <c r="K155" s="9">
        <v>3</v>
      </c>
      <c r="L155" s="9"/>
      <c r="M155" s="9">
        <v>0</v>
      </c>
      <c r="N155" s="9">
        <v>1</v>
      </c>
      <c r="O155" s="1" t="str">
        <f>VLOOKUP(B155,Sheet2!A:G,7,0)</f>
        <v>{2,400}</v>
      </c>
      <c r="P155" s="1" t="s">
        <v>44</v>
      </c>
      <c r="Q155" s="9">
        <v>3</v>
      </c>
      <c r="R155" s="9"/>
      <c r="S155" s="28">
        <v>1</v>
      </c>
      <c r="T155" s="9" t="s">
        <v>325</v>
      </c>
    </row>
    <row r="156" spans="1:20">
      <c r="A156" s="9"/>
      <c r="B156" s="9">
        <v>10744</v>
      </c>
      <c r="C156" s="9" t="s">
        <v>397</v>
      </c>
      <c r="D156" s="9">
        <v>8</v>
      </c>
      <c r="E156" s="9">
        <v>2</v>
      </c>
      <c r="F156" s="9">
        <v>122</v>
      </c>
      <c r="G156" s="1">
        <v>0</v>
      </c>
      <c r="H156" s="9">
        <v>0</v>
      </c>
      <c r="I156" s="9">
        <v>105</v>
      </c>
      <c r="J156" s="1">
        <v>0</v>
      </c>
      <c r="K156" s="9">
        <v>4</v>
      </c>
      <c r="L156" s="9"/>
      <c r="M156" s="9">
        <v>0</v>
      </c>
      <c r="N156" s="9">
        <v>1</v>
      </c>
      <c r="O156" s="1" t="str">
        <f>VLOOKUP(B156,Sheet2!A:G,7,0)</f>
        <v>{2,500}</v>
      </c>
      <c r="P156" s="1" t="s">
        <v>44</v>
      </c>
      <c r="Q156" s="9">
        <v>4</v>
      </c>
      <c r="R156" s="9"/>
      <c r="S156" s="28">
        <v>1</v>
      </c>
      <c r="T156" s="9" t="s">
        <v>332</v>
      </c>
    </row>
    <row r="157" spans="1:20">
      <c r="A157" s="9"/>
      <c r="B157" s="9">
        <v>10745</v>
      </c>
      <c r="C157" s="9" t="s">
        <v>398</v>
      </c>
      <c r="D157" s="9">
        <v>8</v>
      </c>
      <c r="E157" s="9">
        <v>2</v>
      </c>
      <c r="F157" s="9">
        <v>122</v>
      </c>
      <c r="G157" s="1">
        <v>0</v>
      </c>
      <c r="H157" s="9">
        <v>0</v>
      </c>
      <c r="I157" s="9">
        <v>105</v>
      </c>
      <c r="J157" s="1">
        <v>0</v>
      </c>
      <c r="K157" s="9">
        <v>5</v>
      </c>
      <c r="L157" s="9"/>
      <c r="M157" s="9">
        <v>0</v>
      </c>
      <c r="N157" s="9">
        <v>2</v>
      </c>
      <c r="O157" s="1" t="str">
        <f>VLOOKUP(B157,Sheet2!A:G,7,0)</f>
        <v>{2,600}</v>
      </c>
      <c r="P157" s="1" t="s">
        <v>44</v>
      </c>
      <c r="Q157" s="9">
        <v>5</v>
      </c>
      <c r="R157" s="9"/>
      <c r="S157" s="28">
        <v>1</v>
      </c>
      <c r="T157" s="9" t="s">
        <v>332</v>
      </c>
    </row>
    <row r="158" spans="1:20">
      <c r="A158" s="9"/>
      <c r="B158" s="9">
        <v>10746</v>
      </c>
      <c r="C158" s="9" t="s">
        <v>399</v>
      </c>
      <c r="D158" s="9">
        <v>8</v>
      </c>
      <c r="E158" s="9">
        <v>2</v>
      </c>
      <c r="F158" s="9">
        <v>122</v>
      </c>
      <c r="G158" s="1">
        <v>0</v>
      </c>
      <c r="H158" s="9">
        <v>0</v>
      </c>
      <c r="I158" s="9">
        <v>105</v>
      </c>
      <c r="J158" s="1">
        <v>0</v>
      </c>
      <c r="K158" s="9">
        <v>6</v>
      </c>
      <c r="L158" s="9"/>
      <c r="M158" s="9">
        <v>0</v>
      </c>
      <c r="N158" s="9">
        <v>2</v>
      </c>
      <c r="O158" s="1" t="str">
        <f>VLOOKUP(B158,Sheet2!A:G,7,0)</f>
        <v>{2,700}</v>
      </c>
      <c r="P158" s="1" t="s">
        <v>44</v>
      </c>
      <c r="Q158" s="9">
        <v>6</v>
      </c>
      <c r="R158" s="9"/>
      <c r="S158" s="30">
        <v>2</v>
      </c>
      <c r="T158" s="9" t="s">
        <v>332</v>
      </c>
    </row>
    <row r="159" spans="1:20">
      <c r="A159" s="9"/>
      <c r="B159" s="9">
        <v>10747</v>
      </c>
      <c r="C159" s="9" t="s">
        <v>400</v>
      </c>
      <c r="D159" s="9">
        <v>8</v>
      </c>
      <c r="E159" s="9">
        <v>2</v>
      </c>
      <c r="F159" s="9">
        <v>122</v>
      </c>
      <c r="G159" s="1">
        <v>0</v>
      </c>
      <c r="H159" s="9">
        <v>0</v>
      </c>
      <c r="I159" s="9">
        <v>105</v>
      </c>
      <c r="J159" s="1">
        <v>0</v>
      </c>
      <c r="K159" s="9">
        <v>7</v>
      </c>
      <c r="L159" s="9"/>
      <c r="M159" s="9">
        <v>0</v>
      </c>
      <c r="N159" s="9">
        <v>2</v>
      </c>
      <c r="O159" s="1" t="str">
        <f>VLOOKUP(B159,Sheet2!A:G,7,0)</f>
        <v>{2,800}</v>
      </c>
      <c r="P159" s="1" t="s">
        <v>44</v>
      </c>
      <c r="Q159" s="9">
        <v>7</v>
      </c>
      <c r="R159" s="9"/>
      <c r="S159" s="30">
        <v>2</v>
      </c>
      <c r="T159" s="9" t="s">
        <v>337</v>
      </c>
    </row>
    <row r="160" spans="1:20">
      <c r="A160" s="9"/>
      <c r="B160" s="9">
        <v>10748</v>
      </c>
      <c r="C160" s="9" t="s">
        <v>401</v>
      </c>
      <c r="D160" s="9">
        <v>8</v>
      </c>
      <c r="E160" s="9">
        <v>2</v>
      </c>
      <c r="F160" s="9">
        <v>122</v>
      </c>
      <c r="G160" s="1">
        <v>0</v>
      </c>
      <c r="H160" s="9">
        <v>0</v>
      </c>
      <c r="I160" s="9">
        <v>105</v>
      </c>
      <c r="J160" s="1">
        <v>0</v>
      </c>
      <c r="K160" s="9">
        <v>8</v>
      </c>
      <c r="L160" s="9"/>
      <c r="M160" s="9">
        <v>0</v>
      </c>
      <c r="N160" s="9">
        <v>2</v>
      </c>
      <c r="O160" s="1" t="str">
        <f>VLOOKUP(B160,Sheet2!A:G,7,0)</f>
        <v>{2,900}</v>
      </c>
      <c r="P160" s="1" t="s">
        <v>44</v>
      </c>
      <c r="Q160" s="9">
        <v>8</v>
      </c>
      <c r="R160" s="9"/>
      <c r="S160" s="30">
        <v>2</v>
      </c>
      <c r="T160" s="9" t="s">
        <v>337</v>
      </c>
    </row>
    <row r="161" spans="1:20">
      <c r="A161" s="9"/>
      <c r="B161" s="9">
        <v>10749</v>
      </c>
      <c r="C161" s="9" t="s">
        <v>402</v>
      </c>
      <c r="D161" s="9">
        <v>8</v>
      </c>
      <c r="E161" s="9">
        <v>2</v>
      </c>
      <c r="F161" s="9">
        <v>122</v>
      </c>
      <c r="G161" s="1">
        <v>0</v>
      </c>
      <c r="H161" s="9">
        <v>0</v>
      </c>
      <c r="I161" s="9">
        <v>105</v>
      </c>
      <c r="J161" s="1">
        <v>0</v>
      </c>
      <c r="K161" s="9">
        <v>9</v>
      </c>
      <c r="L161" s="9"/>
      <c r="M161" s="9">
        <v>0</v>
      </c>
      <c r="N161" s="9">
        <v>2</v>
      </c>
      <c r="O161" s="1" t="str">
        <f>VLOOKUP(B161,Sheet2!A:G,7,0)</f>
        <v>{2,1000}</v>
      </c>
      <c r="P161" s="1" t="s">
        <v>44</v>
      </c>
      <c r="Q161" s="9">
        <v>9</v>
      </c>
      <c r="R161" s="9"/>
      <c r="S161" s="30">
        <v>2</v>
      </c>
      <c r="T161" s="9" t="s">
        <v>337</v>
      </c>
    </row>
    <row r="162" spans="1:20">
      <c r="A162" s="9"/>
      <c r="B162" s="9">
        <v>10750</v>
      </c>
      <c r="C162" s="9" t="s">
        <v>403</v>
      </c>
      <c r="D162" s="9">
        <v>8</v>
      </c>
      <c r="E162" s="9">
        <v>2</v>
      </c>
      <c r="F162" s="9">
        <v>122</v>
      </c>
      <c r="G162" s="1">
        <v>0</v>
      </c>
      <c r="H162" s="9">
        <v>0</v>
      </c>
      <c r="I162" s="9">
        <v>105</v>
      </c>
      <c r="J162" s="1">
        <v>0</v>
      </c>
      <c r="K162" s="9">
        <v>10</v>
      </c>
      <c r="L162" s="9"/>
      <c r="M162" s="9">
        <v>0</v>
      </c>
      <c r="N162" s="9">
        <v>3</v>
      </c>
      <c r="O162" s="1" t="str">
        <f>VLOOKUP(B162,Sheet2!A:G,7,0)</f>
        <v>{2,1500}</v>
      </c>
      <c r="P162" s="1" t="s">
        <v>44</v>
      </c>
      <c r="Q162" s="9">
        <v>10</v>
      </c>
      <c r="R162" s="9"/>
      <c r="S162" s="28">
        <v>3</v>
      </c>
      <c r="T162" s="9" t="s">
        <v>303</v>
      </c>
    </row>
    <row r="163" spans="1:20">
      <c r="A163" s="9"/>
      <c r="B163" s="31">
        <v>20001</v>
      </c>
      <c r="C163" s="31" t="s">
        <v>404</v>
      </c>
      <c r="D163" s="31">
        <v>11</v>
      </c>
      <c r="E163" s="31">
        <v>2</v>
      </c>
      <c r="F163" s="31">
        <v>116</v>
      </c>
      <c r="G163" s="1">
        <v>1</v>
      </c>
      <c r="H163" s="31">
        <v>3</v>
      </c>
      <c r="I163" s="31"/>
      <c r="J163" s="1">
        <v>0</v>
      </c>
      <c r="K163" s="31">
        <v>3</v>
      </c>
      <c r="L163" s="31">
        <v>1</v>
      </c>
      <c r="M163" s="31">
        <v>0</v>
      </c>
      <c r="N163" s="31">
        <v>3</v>
      </c>
      <c r="O163" s="7" t="str">
        <f>VLOOKUP(B163,Sheet2!A:G,7,0)</f>
        <v>{6,1}</v>
      </c>
      <c r="P163" s="7" t="s">
        <v>44</v>
      </c>
      <c r="Q163" s="1" t="s">
        <v>405</v>
      </c>
      <c r="R163" s="9"/>
      <c r="S163" s="18">
        <v>1</v>
      </c>
      <c r="T163" s="9"/>
    </row>
    <row r="164" spans="1:20">
      <c r="A164" s="9"/>
      <c r="B164" s="31">
        <v>20002</v>
      </c>
      <c r="C164" s="31" t="s">
        <v>406</v>
      </c>
      <c r="D164" s="31">
        <v>11</v>
      </c>
      <c r="E164" s="31">
        <v>2</v>
      </c>
      <c r="F164" s="31">
        <v>204</v>
      </c>
      <c r="G164" s="1">
        <v>1</v>
      </c>
      <c r="H164" s="31">
        <v>4</v>
      </c>
      <c r="I164" s="31"/>
      <c r="J164" s="1">
        <v>0</v>
      </c>
      <c r="K164" s="31">
        <v>3000</v>
      </c>
      <c r="L164" s="31">
        <v>2</v>
      </c>
      <c r="M164" s="31">
        <v>0</v>
      </c>
      <c r="N164" s="31">
        <v>3</v>
      </c>
      <c r="O164" s="7" t="str">
        <f>VLOOKUP(B164,Sheet2!A:G,7,0)</f>
        <v>{6,1}</v>
      </c>
      <c r="P164" s="7" t="s">
        <v>44</v>
      </c>
      <c r="Q164" t="s">
        <v>407</v>
      </c>
      <c r="R164" s="9"/>
      <c r="S164" s="20">
        <v>2</v>
      </c>
      <c r="T164" s="9"/>
    </row>
    <row r="165" spans="1:20">
      <c r="A165" s="9"/>
      <c r="B165" s="31">
        <v>20003</v>
      </c>
      <c r="C165" s="31" t="s">
        <v>408</v>
      </c>
      <c r="D165" s="31">
        <v>11</v>
      </c>
      <c r="E165" s="31">
        <v>2</v>
      </c>
      <c r="F165" s="31">
        <v>123</v>
      </c>
      <c r="G165" s="1">
        <v>1</v>
      </c>
      <c r="H165" s="31">
        <v>11</v>
      </c>
      <c r="I165" s="31"/>
      <c r="J165" s="1">
        <v>0</v>
      </c>
      <c r="K165" s="31">
        <v>10</v>
      </c>
      <c r="L165" s="31">
        <v>3</v>
      </c>
      <c r="M165" s="31">
        <v>0</v>
      </c>
      <c r="N165" s="31">
        <v>3</v>
      </c>
      <c r="O165" s="7" t="str">
        <f>VLOOKUP(B165,Sheet2!A:G,7,0)</f>
        <v>{6,1}</v>
      </c>
      <c r="P165" s="7" t="s">
        <v>44</v>
      </c>
      <c r="Q165" s="31" t="s">
        <v>409</v>
      </c>
      <c r="R165" s="9"/>
      <c r="S165" s="20">
        <v>3</v>
      </c>
      <c r="T165" s="9"/>
    </row>
    <row r="166" spans="1:20">
      <c r="A166" s="9"/>
      <c r="B166" s="31">
        <v>20004</v>
      </c>
      <c r="C166" s="31" t="s">
        <v>410</v>
      </c>
      <c r="D166" s="31">
        <v>11</v>
      </c>
      <c r="E166" s="31">
        <v>2</v>
      </c>
      <c r="F166" s="31">
        <v>124</v>
      </c>
      <c r="G166" s="1">
        <v>1</v>
      </c>
      <c r="H166" s="31">
        <v>12</v>
      </c>
      <c r="I166" s="31"/>
      <c r="J166" s="1">
        <v>0</v>
      </c>
      <c r="K166" s="31">
        <v>960</v>
      </c>
      <c r="L166" s="31">
        <v>4</v>
      </c>
      <c r="M166" s="31">
        <v>0</v>
      </c>
      <c r="N166" s="31">
        <v>3</v>
      </c>
      <c r="O166" s="7" t="str">
        <f>VLOOKUP(B166,Sheet2!A:G,7,0)</f>
        <v>{6,1}</v>
      </c>
      <c r="P166" s="7" t="s">
        <v>44</v>
      </c>
      <c r="Q166" s="31" t="s">
        <v>411</v>
      </c>
      <c r="R166" s="9"/>
      <c r="S166" s="18">
        <v>1</v>
      </c>
      <c r="T166" s="9"/>
    </row>
    <row r="167" s="9" customFormat="1" spans="2:19">
      <c r="B167" s="9">
        <v>20008</v>
      </c>
      <c r="C167" s="9" t="s">
        <v>412</v>
      </c>
      <c r="D167" s="9">
        <v>12</v>
      </c>
      <c r="E167" s="9">
        <v>2</v>
      </c>
      <c r="F167" s="9">
        <v>208</v>
      </c>
      <c r="G167" s="1">
        <v>1</v>
      </c>
      <c r="H167" s="9">
        <v>0</v>
      </c>
      <c r="I167" s="9">
        <v>1</v>
      </c>
      <c r="J167" s="1">
        <v>0</v>
      </c>
      <c r="K167" s="9">
        <v>1</v>
      </c>
      <c r="M167" s="9">
        <v>0</v>
      </c>
      <c r="N167" s="9">
        <v>3</v>
      </c>
      <c r="O167" s="1" t="str">
        <f>VLOOKUP(B167,Sheet2!A:G,7,0)</f>
        <v>{6,1}</v>
      </c>
      <c r="P167" s="1" t="s">
        <v>44</v>
      </c>
      <c r="Q167" s="9" t="s">
        <v>413</v>
      </c>
      <c r="S167" s="20">
        <v>2</v>
      </c>
    </row>
    <row r="168" spans="1:20">
      <c r="A168" s="9"/>
      <c r="B168" s="9">
        <v>20009</v>
      </c>
      <c r="C168" s="9" t="s">
        <v>414</v>
      </c>
      <c r="D168" s="9">
        <v>12</v>
      </c>
      <c r="E168" s="9">
        <v>2</v>
      </c>
      <c r="F168" s="9">
        <v>208</v>
      </c>
      <c r="G168" s="1">
        <v>1</v>
      </c>
      <c r="H168" s="9">
        <v>0</v>
      </c>
      <c r="I168" s="9">
        <v>2</v>
      </c>
      <c r="J168" s="1">
        <v>0</v>
      </c>
      <c r="K168" s="9">
        <v>1</v>
      </c>
      <c r="L168" s="9"/>
      <c r="M168" s="9">
        <v>0</v>
      </c>
      <c r="N168" s="9">
        <v>3</v>
      </c>
      <c r="O168" s="1" t="str">
        <f>VLOOKUP(B168,Sheet2!A:G,7,0)</f>
        <v>{6,1}</v>
      </c>
      <c r="P168" s="1" t="s">
        <v>44</v>
      </c>
      <c r="Q168" s="9" t="s">
        <v>415</v>
      </c>
      <c r="R168" s="9"/>
      <c r="S168" s="20">
        <v>3</v>
      </c>
      <c r="T168" s="9"/>
    </row>
    <row r="169" spans="1:20">
      <c r="A169" s="9"/>
      <c r="B169" s="9">
        <v>20010</v>
      </c>
      <c r="C169" s="9" t="s">
        <v>416</v>
      </c>
      <c r="D169" s="9">
        <v>12</v>
      </c>
      <c r="E169" s="9">
        <v>2</v>
      </c>
      <c r="F169" s="9">
        <v>208</v>
      </c>
      <c r="G169" s="1">
        <v>1</v>
      </c>
      <c r="H169" s="9">
        <v>0</v>
      </c>
      <c r="I169" s="9">
        <v>3</v>
      </c>
      <c r="J169" s="1">
        <v>0</v>
      </c>
      <c r="K169" s="9">
        <v>1</v>
      </c>
      <c r="L169" s="9"/>
      <c r="M169" s="9">
        <v>0</v>
      </c>
      <c r="N169" s="9">
        <v>3</v>
      </c>
      <c r="O169" s="1" t="str">
        <f>VLOOKUP(B169,Sheet2!A:G,7,0)</f>
        <v>{6,1}</v>
      </c>
      <c r="P169" s="1" t="s">
        <v>44</v>
      </c>
      <c r="Q169" s="9" t="s">
        <v>417</v>
      </c>
      <c r="R169" s="9"/>
      <c r="S169" s="18">
        <v>1</v>
      </c>
      <c r="T169" s="9"/>
    </row>
    <row r="170" spans="1:20">
      <c r="A170" s="9"/>
      <c r="B170" s="9">
        <v>20011</v>
      </c>
      <c r="C170" s="9" t="s">
        <v>418</v>
      </c>
      <c r="D170" s="9">
        <v>12</v>
      </c>
      <c r="E170" s="9">
        <v>2</v>
      </c>
      <c r="F170" s="9">
        <v>208</v>
      </c>
      <c r="G170" s="1">
        <v>1</v>
      </c>
      <c r="H170" s="9">
        <v>0</v>
      </c>
      <c r="I170" s="9">
        <v>4</v>
      </c>
      <c r="J170" s="1">
        <v>0</v>
      </c>
      <c r="K170" s="9">
        <v>1</v>
      </c>
      <c r="L170" s="9"/>
      <c r="M170" s="9">
        <v>0</v>
      </c>
      <c r="N170" s="9">
        <v>3</v>
      </c>
      <c r="O170" s="1" t="str">
        <f>VLOOKUP(B170,Sheet2!A:G,7,0)</f>
        <v>{6,1}</v>
      </c>
      <c r="P170" s="1" t="s">
        <v>44</v>
      </c>
      <c r="Q170" s="9" t="s">
        <v>419</v>
      </c>
      <c r="R170" s="9"/>
      <c r="S170" s="20">
        <v>2</v>
      </c>
      <c r="T170" s="9"/>
    </row>
    <row r="171" spans="1:20">
      <c r="A171" s="9"/>
      <c r="B171" s="9">
        <v>20012</v>
      </c>
      <c r="C171" s="9" t="s">
        <v>420</v>
      </c>
      <c r="D171" s="9">
        <v>12</v>
      </c>
      <c r="E171" s="9">
        <v>2</v>
      </c>
      <c r="F171" s="9">
        <v>208</v>
      </c>
      <c r="G171" s="1">
        <v>1</v>
      </c>
      <c r="H171" s="9">
        <v>0</v>
      </c>
      <c r="I171" s="9">
        <v>5</v>
      </c>
      <c r="J171" s="1">
        <v>0</v>
      </c>
      <c r="K171" s="9">
        <v>1</v>
      </c>
      <c r="L171" s="9"/>
      <c r="M171" s="9">
        <v>0</v>
      </c>
      <c r="N171" s="9">
        <v>3</v>
      </c>
      <c r="O171" s="1" t="str">
        <f>VLOOKUP(B171,Sheet2!A:G,7,0)</f>
        <v>{6,1}</v>
      </c>
      <c r="P171" s="1" t="s">
        <v>44</v>
      </c>
      <c r="Q171" s="9" t="s">
        <v>421</v>
      </c>
      <c r="R171" s="9"/>
      <c r="S171" s="20">
        <v>3</v>
      </c>
      <c r="T171" s="9"/>
    </row>
    <row r="172" spans="1:20">
      <c r="A172" s="9"/>
      <c r="B172" s="9">
        <v>20013</v>
      </c>
      <c r="C172" s="9" t="s">
        <v>422</v>
      </c>
      <c r="D172" s="9">
        <v>12</v>
      </c>
      <c r="E172" s="9">
        <v>2</v>
      </c>
      <c r="F172" s="9">
        <v>208</v>
      </c>
      <c r="G172" s="1">
        <v>1</v>
      </c>
      <c r="H172" s="9">
        <v>0</v>
      </c>
      <c r="I172" s="9">
        <v>6</v>
      </c>
      <c r="J172" s="1">
        <v>0</v>
      </c>
      <c r="K172" s="9">
        <v>1</v>
      </c>
      <c r="L172" s="9"/>
      <c r="M172" s="9">
        <v>0</v>
      </c>
      <c r="N172" s="9">
        <v>3</v>
      </c>
      <c r="O172" s="1" t="str">
        <f>VLOOKUP(B172,Sheet2!A:G,7,0)</f>
        <v>{6,1}</v>
      </c>
      <c r="P172" s="1" t="s">
        <v>44</v>
      </c>
      <c r="Q172" s="9" t="s">
        <v>423</v>
      </c>
      <c r="R172" s="9"/>
      <c r="S172" s="18">
        <v>1</v>
      </c>
      <c r="T172" s="9"/>
    </row>
    <row r="173" spans="1:20">
      <c r="A173" s="9"/>
      <c r="B173" s="9">
        <v>20014</v>
      </c>
      <c r="C173" s="9" t="s">
        <v>424</v>
      </c>
      <c r="D173" s="9">
        <v>12</v>
      </c>
      <c r="E173" s="9">
        <v>2</v>
      </c>
      <c r="F173" s="9">
        <v>208</v>
      </c>
      <c r="G173" s="1">
        <v>1</v>
      </c>
      <c r="H173" s="9">
        <v>0</v>
      </c>
      <c r="I173" s="9">
        <v>7</v>
      </c>
      <c r="J173" s="1">
        <v>0</v>
      </c>
      <c r="K173" s="9">
        <v>1</v>
      </c>
      <c r="L173" s="9"/>
      <c r="M173" s="9">
        <v>0</v>
      </c>
      <c r="N173" s="9">
        <v>3</v>
      </c>
      <c r="O173" s="1" t="str">
        <f>VLOOKUP(B173,Sheet2!A:G,7,0)</f>
        <v>{6,1}</v>
      </c>
      <c r="P173" s="1" t="s">
        <v>44</v>
      </c>
      <c r="Q173" s="9" t="s">
        <v>425</v>
      </c>
      <c r="R173" s="9"/>
      <c r="S173" s="20">
        <v>2</v>
      </c>
      <c r="T173" s="9"/>
    </row>
    <row r="174" spans="1:20">
      <c r="A174" s="9"/>
      <c r="B174" s="9">
        <v>21000</v>
      </c>
      <c r="C174" s="9" t="s">
        <v>426</v>
      </c>
      <c r="D174" s="9">
        <v>13</v>
      </c>
      <c r="E174" s="9">
        <v>2</v>
      </c>
      <c r="F174" s="9">
        <v>209</v>
      </c>
      <c r="G174" s="1">
        <v>1</v>
      </c>
      <c r="H174" s="9">
        <v>10</v>
      </c>
      <c r="I174" s="9"/>
      <c r="J174" s="1">
        <v>0</v>
      </c>
      <c r="K174" s="9">
        <v>1</v>
      </c>
      <c r="L174" s="9"/>
      <c r="M174" s="9">
        <v>0</v>
      </c>
      <c r="N174" s="9">
        <v>3</v>
      </c>
      <c r="O174" s="1" t="s">
        <v>44</v>
      </c>
      <c r="P174" s="1" t="s">
        <v>44</v>
      </c>
      <c r="Q174" s="9" t="s">
        <v>427</v>
      </c>
      <c r="R174" s="9"/>
      <c r="S174" s="20">
        <v>3</v>
      </c>
      <c r="T174" s="9"/>
    </row>
  </sheetData>
  <hyperlinks>
    <hyperlink ref="U58" r:id="rId3" display="https://t.me/tongardenofficial"/>
    <hyperlink ref="U62" r:id="rId4" display="https://t.me/seispin_updates"/>
    <hyperlink ref="U63" r:id="rId5" display="https://t.me/Titan_tgame_bot"/>
    <hyperlink ref="U85" r:id="rId6" display="https://t.me/h1vemind_bot/referral?startapp=3gixyy" tooltip="https://t.me/h1vemind_bot/referral?startapp=3gixyy"/>
    <hyperlink ref="U27" r:id="rId7" display="https://t.me/UTXORDChannelIsBithoven"/>
  </hyperlinks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2"/>
  <sheetViews>
    <sheetView topLeftCell="A156" workbookViewId="0">
      <selection activeCell="F186" sqref="F186"/>
    </sheetView>
  </sheetViews>
  <sheetFormatPr defaultColWidth="9" defaultRowHeight="13.5" outlineLevelCol="6"/>
  <cols>
    <col min="1" max="1" width="6.375" customWidth="1"/>
    <col min="2" max="2" width="29" customWidth="1"/>
    <col min="6" max="6" width="59.875" customWidth="1"/>
  </cols>
  <sheetData>
    <row r="1" ht="14.25" spans="1:7">
      <c r="A1" s="1">
        <v>10205</v>
      </c>
      <c r="B1" s="2" t="s">
        <v>75</v>
      </c>
      <c r="C1" t="s">
        <v>428</v>
      </c>
      <c r="D1" s="1">
        <v>2</v>
      </c>
      <c r="E1">
        <v>60</v>
      </c>
      <c r="F1" t="s">
        <v>429</v>
      </c>
      <c r="G1" t="str">
        <f>"{"&amp;D1&amp;","&amp;E1&amp;"}"</f>
        <v>{2,60}</v>
      </c>
    </row>
    <row r="2" spans="1:7">
      <c r="A2" s="1">
        <v>10101</v>
      </c>
      <c r="B2" s="3" t="s">
        <v>43</v>
      </c>
      <c r="C2" t="s">
        <v>428</v>
      </c>
      <c r="D2" s="1">
        <v>2</v>
      </c>
      <c r="E2">
        <v>50</v>
      </c>
      <c r="F2" t="s">
        <v>429</v>
      </c>
      <c r="G2" t="str">
        <f>"{"&amp;D2&amp;","&amp;E2&amp;"}"</f>
        <v>{2,50}</v>
      </c>
    </row>
    <row r="3" spans="1:7">
      <c r="A3" s="1">
        <v>10102</v>
      </c>
      <c r="B3" s="3" t="s">
        <v>47</v>
      </c>
      <c r="C3" t="s">
        <v>428</v>
      </c>
      <c r="D3" s="1">
        <v>2</v>
      </c>
      <c r="E3">
        <v>400</v>
      </c>
      <c r="F3" t="s">
        <v>429</v>
      </c>
      <c r="G3" t="str">
        <f t="shared" ref="G3:G8" si="0">"{"&amp;D3&amp;","&amp;E3&amp;"}"</f>
        <v>{2,400}</v>
      </c>
    </row>
    <row r="4" spans="1:7">
      <c r="A4" s="1">
        <v>10103</v>
      </c>
      <c r="B4" s="1" t="s">
        <v>51</v>
      </c>
      <c r="C4" t="s">
        <v>428</v>
      </c>
      <c r="D4" s="1">
        <v>2</v>
      </c>
      <c r="E4">
        <v>100</v>
      </c>
      <c r="F4" t="s">
        <v>429</v>
      </c>
      <c r="G4" t="str">
        <f t="shared" si="0"/>
        <v>{2,100}</v>
      </c>
    </row>
    <row r="5" ht="14.25" spans="1:7">
      <c r="A5" s="1">
        <v>10104</v>
      </c>
      <c r="B5" s="3" t="s">
        <v>54</v>
      </c>
      <c r="C5" t="s">
        <v>428</v>
      </c>
      <c r="D5" s="1">
        <v>2</v>
      </c>
      <c r="E5">
        <v>100</v>
      </c>
      <c r="F5" t="s">
        <v>429</v>
      </c>
      <c r="G5" t="str">
        <f t="shared" si="0"/>
        <v>{2,100}</v>
      </c>
    </row>
    <row r="6" spans="1:7">
      <c r="A6" s="1">
        <v>10105</v>
      </c>
      <c r="B6" s="3" t="s">
        <v>57</v>
      </c>
      <c r="C6" t="s">
        <v>428</v>
      </c>
      <c r="D6" s="1">
        <v>2</v>
      </c>
      <c r="E6">
        <v>100</v>
      </c>
      <c r="F6" t="s">
        <v>429</v>
      </c>
      <c r="G6" t="str">
        <f t="shared" si="0"/>
        <v>{2,100}</v>
      </c>
    </row>
    <row r="7" spans="1:7">
      <c r="A7" s="1">
        <v>10106</v>
      </c>
      <c r="B7" s="4" t="s">
        <v>60</v>
      </c>
      <c r="C7" t="s">
        <v>428</v>
      </c>
      <c r="D7" s="1">
        <v>2</v>
      </c>
      <c r="E7">
        <v>200</v>
      </c>
      <c r="F7" t="s">
        <v>429</v>
      </c>
      <c r="G7" t="str">
        <f t="shared" si="0"/>
        <v>{2,200}</v>
      </c>
    </row>
    <row r="8" spans="1:7">
      <c r="A8" s="1">
        <v>10107</v>
      </c>
      <c r="B8" s="3" t="s">
        <v>63</v>
      </c>
      <c r="C8" t="s">
        <v>428</v>
      </c>
      <c r="D8" s="1">
        <v>2</v>
      </c>
      <c r="E8">
        <v>30</v>
      </c>
      <c r="F8" t="s">
        <v>429</v>
      </c>
      <c r="G8" t="str">
        <f t="shared" si="0"/>
        <v>{2,30}</v>
      </c>
    </row>
    <row r="9" ht="14.25" spans="1:7">
      <c r="A9" s="1">
        <v>10201</v>
      </c>
      <c r="B9" s="2" t="s">
        <v>66</v>
      </c>
      <c r="C9" t="s">
        <v>428</v>
      </c>
      <c r="D9" s="1">
        <v>2</v>
      </c>
      <c r="E9">
        <v>300</v>
      </c>
      <c r="F9" t="s">
        <v>429</v>
      </c>
      <c r="G9" t="str">
        <f t="shared" ref="G9:G15" si="1">"{"&amp;D9&amp;","&amp;E9&amp;"}"</f>
        <v>{2,300}</v>
      </c>
    </row>
    <row r="10" ht="14.25" spans="1:7">
      <c r="A10" s="1">
        <v>10202</v>
      </c>
      <c r="B10" s="3" t="s">
        <v>70</v>
      </c>
      <c r="C10" t="s">
        <v>428</v>
      </c>
      <c r="D10" s="1">
        <v>2</v>
      </c>
      <c r="E10">
        <v>300</v>
      </c>
      <c r="F10" t="s">
        <v>429</v>
      </c>
      <c r="G10" t="str">
        <f t="shared" si="1"/>
        <v>{2,300}</v>
      </c>
    </row>
    <row r="11" spans="1:7">
      <c r="A11" s="1">
        <v>10203</v>
      </c>
      <c r="B11" s="3" t="s">
        <v>430</v>
      </c>
      <c r="C11" t="s">
        <v>428</v>
      </c>
      <c r="D11" s="1">
        <v>2</v>
      </c>
      <c r="E11">
        <v>30</v>
      </c>
      <c r="F11" t="s">
        <v>429</v>
      </c>
      <c r="G11" t="str">
        <f t="shared" si="1"/>
        <v>{2,30}</v>
      </c>
    </row>
    <row r="12" spans="1:7">
      <c r="A12" s="1">
        <v>10204</v>
      </c>
      <c r="B12" s="3" t="s">
        <v>63</v>
      </c>
      <c r="C12" t="s">
        <v>428</v>
      </c>
      <c r="D12" s="1">
        <v>2</v>
      </c>
      <c r="E12">
        <v>30</v>
      </c>
      <c r="F12" t="s">
        <v>429</v>
      </c>
      <c r="G12" t="str">
        <f t="shared" si="1"/>
        <v>{2,30}</v>
      </c>
    </row>
    <row r="13" hidden="1" spans="1:7">
      <c r="A13" s="1">
        <v>10301</v>
      </c>
      <c r="B13" s="3" t="s">
        <v>77</v>
      </c>
      <c r="C13" t="s">
        <v>428</v>
      </c>
      <c r="D13" s="1">
        <v>2</v>
      </c>
      <c r="E13">
        <v>35</v>
      </c>
      <c r="F13" t="s">
        <v>429</v>
      </c>
      <c r="G13" t="str">
        <f t="shared" si="1"/>
        <v>{2,35}</v>
      </c>
    </row>
    <row r="14" hidden="1" spans="1:7">
      <c r="A14" s="1">
        <v>10302</v>
      </c>
      <c r="B14" s="3" t="s">
        <v>81</v>
      </c>
      <c r="C14" t="s">
        <v>428</v>
      </c>
      <c r="D14" s="1">
        <v>2</v>
      </c>
      <c r="E14">
        <v>35</v>
      </c>
      <c r="F14" t="s">
        <v>429</v>
      </c>
      <c r="G14" t="str">
        <f t="shared" si="1"/>
        <v>{2,35}</v>
      </c>
    </row>
    <row r="15" hidden="1" spans="1:7">
      <c r="A15" s="1">
        <v>10303</v>
      </c>
      <c r="B15" s="3" t="s">
        <v>85</v>
      </c>
      <c r="C15" t="s">
        <v>428</v>
      </c>
      <c r="D15" s="1">
        <v>2</v>
      </c>
      <c r="E15">
        <v>35</v>
      </c>
      <c r="F15" t="s">
        <v>429</v>
      </c>
      <c r="G15" t="str">
        <f t="shared" si="1"/>
        <v>{2,35}</v>
      </c>
    </row>
    <row r="16" hidden="1" spans="1:7">
      <c r="A16" s="5">
        <v>10304</v>
      </c>
      <c r="B16" s="6" t="s">
        <v>88</v>
      </c>
      <c r="C16" t="s">
        <v>428</v>
      </c>
      <c r="D16" s="1">
        <v>2</v>
      </c>
      <c r="E16">
        <v>35</v>
      </c>
      <c r="F16" t="s">
        <v>429</v>
      </c>
      <c r="G16" t="str">
        <f t="shared" ref="G16:G30" si="2">"{"&amp;D16&amp;","&amp;E16&amp;"}"</f>
        <v>{2,35}</v>
      </c>
    </row>
    <row r="17" hidden="1" spans="1:7">
      <c r="A17" s="5">
        <v>10305</v>
      </c>
      <c r="B17" s="6" t="s">
        <v>92</v>
      </c>
      <c r="C17" t="s">
        <v>428</v>
      </c>
      <c r="D17" s="1">
        <v>2</v>
      </c>
      <c r="E17">
        <v>35</v>
      </c>
      <c r="F17" t="s">
        <v>429</v>
      </c>
      <c r="G17" t="str">
        <f t="shared" si="2"/>
        <v>{2,35}</v>
      </c>
    </row>
    <row r="18" hidden="1" spans="1:7">
      <c r="A18" s="5">
        <v>10306</v>
      </c>
      <c r="B18" s="6" t="s">
        <v>96</v>
      </c>
      <c r="C18" t="s">
        <v>428</v>
      </c>
      <c r="D18" s="1">
        <v>2</v>
      </c>
      <c r="E18">
        <v>35</v>
      </c>
      <c r="F18" t="s">
        <v>429</v>
      </c>
      <c r="G18" t="str">
        <f t="shared" si="2"/>
        <v>{2,35}</v>
      </c>
    </row>
    <row r="19" hidden="1" spans="1:7">
      <c r="A19" s="5">
        <v>10307</v>
      </c>
      <c r="B19" s="6" t="s">
        <v>98</v>
      </c>
      <c r="C19" t="s">
        <v>428</v>
      </c>
      <c r="D19" s="1">
        <v>2</v>
      </c>
      <c r="E19">
        <v>35</v>
      </c>
      <c r="F19" t="s">
        <v>429</v>
      </c>
      <c r="G19" t="str">
        <f t="shared" si="2"/>
        <v>{2,35}</v>
      </c>
    </row>
    <row r="20" hidden="1" spans="1:7">
      <c r="A20" s="5">
        <v>10308</v>
      </c>
      <c r="B20" s="6" t="s">
        <v>102</v>
      </c>
      <c r="C20" t="s">
        <v>428</v>
      </c>
      <c r="D20" s="1">
        <v>2</v>
      </c>
      <c r="E20">
        <v>35</v>
      </c>
      <c r="F20" t="s">
        <v>429</v>
      </c>
      <c r="G20" t="str">
        <f t="shared" si="2"/>
        <v>{2,35}</v>
      </c>
    </row>
    <row r="21" hidden="1" spans="1:7">
      <c r="A21" s="5">
        <v>10309</v>
      </c>
      <c r="B21" s="5" t="s">
        <v>105</v>
      </c>
      <c r="C21" t="s">
        <v>428</v>
      </c>
      <c r="D21" s="1">
        <v>2</v>
      </c>
      <c r="E21">
        <v>35</v>
      </c>
      <c r="F21" t="s">
        <v>429</v>
      </c>
      <c r="G21" t="str">
        <f t="shared" si="2"/>
        <v>{2,35}</v>
      </c>
    </row>
    <row r="22" hidden="1" spans="1:7">
      <c r="A22" s="5">
        <v>10310</v>
      </c>
      <c r="B22" s="5" t="s">
        <v>109</v>
      </c>
      <c r="C22" t="s">
        <v>428</v>
      </c>
      <c r="D22" s="1">
        <v>2</v>
      </c>
      <c r="E22">
        <v>35</v>
      </c>
      <c r="F22" t="s">
        <v>429</v>
      </c>
      <c r="G22" t="str">
        <f t="shared" si="2"/>
        <v>{2,35}</v>
      </c>
    </row>
    <row r="23" hidden="1" spans="1:7">
      <c r="A23" s="5">
        <v>10311</v>
      </c>
      <c r="B23" s="5" t="s">
        <v>112</v>
      </c>
      <c r="C23" t="s">
        <v>428</v>
      </c>
      <c r="D23" s="1">
        <v>2</v>
      </c>
      <c r="E23">
        <v>35</v>
      </c>
      <c r="F23" t="s">
        <v>429</v>
      </c>
      <c r="G23" t="str">
        <f t="shared" si="2"/>
        <v>{2,35}</v>
      </c>
    </row>
    <row r="24" hidden="1" spans="1:7">
      <c r="A24" s="5">
        <v>10312</v>
      </c>
      <c r="B24" s="5" t="s">
        <v>116</v>
      </c>
      <c r="C24" t="s">
        <v>428</v>
      </c>
      <c r="D24" s="1">
        <v>2</v>
      </c>
      <c r="E24">
        <v>35</v>
      </c>
      <c r="F24" t="s">
        <v>429</v>
      </c>
      <c r="G24" t="str">
        <f t="shared" si="2"/>
        <v>{2,35}</v>
      </c>
    </row>
    <row r="25" hidden="1" spans="1:7">
      <c r="A25" s="5">
        <v>10313</v>
      </c>
      <c r="B25" s="5" t="s">
        <v>120</v>
      </c>
      <c r="C25" t="s">
        <v>428</v>
      </c>
      <c r="D25" s="1">
        <v>2</v>
      </c>
      <c r="E25">
        <v>35</v>
      </c>
      <c r="F25" t="s">
        <v>429</v>
      </c>
      <c r="G25" t="str">
        <f t="shared" si="2"/>
        <v>{2,35}</v>
      </c>
    </row>
    <row r="26" hidden="1" spans="1:7">
      <c r="A26" s="5">
        <v>10314</v>
      </c>
      <c r="B26" s="5" t="s">
        <v>123</v>
      </c>
      <c r="C26" t="s">
        <v>428</v>
      </c>
      <c r="D26" s="1">
        <v>2</v>
      </c>
      <c r="E26">
        <v>35</v>
      </c>
      <c r="F26" t="s">
        <v>429</v>
      </c>
      <c r="G26" t="str">
        <f t="shared" si="2"/>
        <v>{2,35}</v>
      </c>
    </row>
    <row r="27" hidden="1" spans="1:7">
      <c r="A27" s="5">
        <v>10315</v>
      </c>
      <c r="B27" s="5" t="s">
        <v>127</v>
      </c>
      <c r="C27" t="s">
        <v>428</v>
      </c>
      <c r="D27" s="1">
        <v>2</v>
      </c>
      <c r="E27">
        <v>35</v>
      </c>
      <c r="F27" t="s">
        <v>429</v>
      </c>
      <c r="G27" t="str">
        <f t="shared" si="2"/>
        <v>{2,35}</v>
      </c>
    </row>
    <row r="28" hidden="1" spans="1:7">
      <c r="A28" s="5">
        <v>10316</v>
      </c>
      <c r="B28" s="5"/>
      <c r="C28" t="s">
        <v>428</v>
      </c>
      <c r="D28" s="1">
        <v>2</v>
      </c>
      <c r="E28">
        <v>35</v>
      </c>
      <c r="F28" t="s">
        <v>429</v>
      </c>
      <c r="G28" t="str">
        <f t="shared" si="2"/>
        <v>{2,35}</v>
      </c>
    </row>
    <row r="29" hidden="1" spans="1:7">
      <c r="A29" s="5">
        <v>10317</v>
      </c>
      <c r="B29" s="5"/>
      <c r="C29" t="s">
        <v>428</v>
      </c>
      <c r="D29" s="1">
        <v>2</v>
      </c>
      <c r="E29">
        <v>35</v>
      </c>
      <c r="F29" t="s">
        <v>429</v>
      </c>
      <c r="G29" t="str">
        <f t="shared" si="2"/>
        <v>{2,35}</v>
      </c>
    </row>
    <row r="30" hidden="1" spans="1:7">
      <c r="A30" s="5">
        <v>10318</v>
      </c>
      <c r="B30" s="5"/>
      <c r="C30" t="s">
        <v>428</v>
      </c>
      <c r="D30" s="1">
        <v>2</v>
      </c>
      <c r="E30">
        <v>35</v>
      </c>
      <c r="F30" t="s">
        <v>429</v>
      </c>
      <c r="G30" t="str">
        <f t="shared" si="2"/>
        <v>{2,35}</v>
      </c>
    </row>
    <row r="31" hidden="1" spans="1:7">
      <c r="A31" s="5">
        <v>10319</v>
      </c>
      <c r="B31" s="5"/>
      <c r="C31" t="s">
        <v>428</v>
      </c>
      <c r="D31" s="1">
        <v>2</v>
      </c>
      <c r="E31">
        <v>35</v>
      </c>
      <c r="F31" t="s">
        <v>429</v>
      </c>
      <c r="G31" t="str">
        <f t="shared" ref="G31:G43" si="3">"{"&amp;D31&amp;","&amp;E31&amp;"}"</f>
        <v>{2,35}</v>
      </c>
    </row>
    <row r="32" hidden="1" spans="1:7">
      <c r="A32" s="5">
        <v>10320</v>
      </c>
      <c r="B32" s="5"/>
      <c r="C32" t="s">
        <v>428</v>
      </c>
      <c r="D32" s="1">
        <v>2</v>
      </c>
      <c r="E32">
        <v>35</v>
      </c>
      <c r="F32" t="s">
        <v>429</v>
      </c>
      <c r="G32" t="str">
        <f t="shared" si="3"/>
        <v>{2,35}</v>
      </c>
    </row>
    <row r="33" hidden="1" spans="1:7">
      <c r="A33" s="5">
        <v>10321</v>
      </c>
      <c r="B33" s="5"/>
      <c r="C33" t="s">
        <v>428</v>
      </c>
      <c r="D33" s="1">
        <v>2</v>
      </c>
      <c r="E33">
        <v>35</v>
      </c>
      <c r="F33" t="s">
        <v>429</v>
      </c>
      <c r="G33" t="str">
        <f t="shared" si="3"/>
        <v>{2,35}</v>
      </c>
    </row>
    <row r="34" hidden="1" spans="1:7">
      <c r="A34" s="5">
        <v>10322</v>
      </c>
      <c r="B34" s="5"/>
      <c r="C34" t="s">
        <v>428</v>
      </c>
      <c r="D34" s="1">
        <v>2</v>
      </c>
      <c r="E34">
        <v>35</v>
      </c>
      <c r="F34" t="s">
        <v>429</v>
      </c>
      <c r="G34" t="str">
        <f t="shared" si="3"/>
        <v>{2,35}</v>
      </c>
    </row>
    <row r="35" hidden="1" spans="1:7">
      <c r="A35" s="5">
        <v>10323</v>
      </c>
      <c r="B35" s="5"/>
      <c r="C35" t="s">
        <v>428</v>
      </c>
      <c r="D35" s="1">
        <v>2</v>
      </c>
      <c r="E35">
        <v>35</v>
      </c>
      <c r="F35" t="s">
        <v>429</v>
      </c>
      <c r="G35" t="str">
        <f t="shared" si="3"/>
        <v>{2,35}</v>
      </c>
    </row>
    <row r="36" hidden="1" spans="1:7">
      <c r="A36" s="5">
        <v>10324</v>
      </c>
      <c r="B36" s="5"/>
      <c r="C36" t="s">
        <v>428</v>
      </c>
      <c r="D36" s="1">
        <v>2</v>
      </c>
      <c r="E36">
        <v>35</v>
      </c>
      <c r="F36" t="s">
        <v>429</v>
      </c>
      <c r="G36" t="str">
        <f t="shared" si="3"/>
        <v>{2,35}</v>
      </c>
    </row>
    <row r="37" hidden="1" spans="1:7">
      <c r="A37" s="5">
        <v>10325</v>
      </c>
      <c r="B37" s="5"/>
      <c r="C37" t="s">
        <v>428</v>
      </c>
      <c r="D37" s="1">
        <v>2</v>
      </c>
      <c r="E37">
        <v>35</v>
      </c>
      <c r="F37" t="s">
        <v>429</v>
      </c>
      <c r="G37" t="str">
        <f t="shared" si="3"/>
        <v>{2,35}</v>
      </c>
    </row>
    <row r="38" hidden="1" spans="1:7">
      <c r="A38" s="5">
        <v>10326</v>
      </c>
      <c r="B38" s="5"/>
      <c r="C38" t="s">
        <v>428</v>
      </c>
      <c r="D38" s="1">
        <v>2</v>
      </c>
      <c r="E38">
        <v>35</v>
      </c>
      <c r="F38" t="s">
        <v>429</v>
      </c>
      <c r="G38" t="str">
        <f t="shared" si="3"/>
        <v>{2,35}</v>
      </c>
    </row>
    <row r="39" hidden="1" spans="1:7">
      <c r="A39" s="5">
        <v>10327</v>
      </c>
      <c r="B39" s="5"/>
      <c r="C39" t="s">
        <v>428</v>
      </c>
      <c r="D39" s="1">
        <v>2</v>
      </c>
      <c r="E39">
        <v>35</v>
      </c>
      <c r="F39" t="s">
        <v>429</v>
      </c>
      <c r="G39" t="str">
        <f t="shared" si="3"/>
        <v>{2,35}</v>
      </c>
    </row>
    <row r="40" hidden="1" spans="1:7">
      <c r="A40" s="5">
        <v>10328</v>
      </c>
      <c r="B40" s="5"/>
      <c r="C40" t="s">
        <v>428</v>
      </c>
      <c r="D40" s="1">
        <v>2</v>
      </c>
      <c r="E40">
        <v>35</v>
      </c>
      <c r="F40" t="s">
        <v>429</v>
      </c>
      <c r="G40" t="str">
        <f t="shared" si="3"/>
        <v>{2,35}</v>
      </c>
    </row>
    <row r="41" hidden="1" spans="1:7">
      <c r="A41" s="5">
        <v>10329</v>
      </c>
      <c r="B41" s="5"/>
      <c r="C41" t="s">
        <v>428</v>
      </c>
      <c r="D41" s="1">
        <v>2</v>
      </c>
      <c r="E41">
        <v>35</v>
      </c>
      <c r="F41" t="s">
        <v>429</v>
      </c>
      <c r="G41" t="str">
        <f t="shared" si="3"/>
        <v>{2,35}</v>
      </c>
    </row>
    <row r="42" hidden="1" spans="1:7">
      <c r="A42" s="5">
        <v>10330</v>
      </c>
      <c r="B42" s="5"/>
      <c r="C42" t="s">
        <v>428</v>
      </c>
      <c r="D42" s="1">
        <v>2</v>
      </c>
      <c r="E42">
        <v>35</v>
      </c>
      <c r="F42" t="s">
        <v>429</v>
      </c>
      <c r="G42" t="str">
        <f t="shared" si="3"/>
        <v>{2,35}</v>
      </c>
    </row>
    <row r="43" hidden="1" spans="1:7">
      <c r="A43" s="5">
        <v>10331</v>
      </c>
      <c r="B43" s="5"/>
      <c r="C43" t="s">
        <v>428</v>
      </c>
      <c r="D43" s="1">
        <v>2</v>
      </c>
      <c r="E43">
        <v>35</v>
      </c>
      <c r="F43" t="s">
        <v>429</v>
      </c>
      <c r="G43" t="str">
        <f t="shared" si="3"/>
        <v>{2,35}</v>
      </c>
    </row>
    <row r="44" hidden="1" spans="1:7">
      <c r="A44" s="5">
        <v>10332</v>
      </c>
      <c r="B44" s="5"/>
      <c r="C44" t="s">
        <v>428</v>
      </c>
      <c r="D44" s="1">
        <v>2</v>
      </c>
      <c r="E44">
        <v>35</v>
      </c>
      <c r="F44" t="s">
        <v>429</v>
      </c>
      <c r="G44" t="str">
        <f t="shared" ref="G44:G63" si="4">"{"&amp;D44&amp;","&amp;E44&amp;"}"</f>
        <v>{2,35}</v>
      </c>
    </row>
    <row r="45" hidden="1" spans="1:7">
      <c r="A45" s="5">
        <v>10333</v>
      </c>
      <c r="B45" s="5"/>
      <c r="C45" t="s">
        <v>428</v>
      </c>
      <c r="D45" s="1">
        <v>2</v>
      </c>
      <c r="E45">
        <v>35</v>
      </c>
      <c r="F45" t="s">
        <v>429</v>
      </c>
      <c r="G45" t="str">
        <f t="shared" si="4"/>
        <v>{2,35}</v>
      </c>
    </row>
    <row r="46" hidden="1" spans="1:7">
      <c r="A46" s="5">
        <v>10334</v>
      </c>
      <c r="B46" s="5"/>
      <c r="C46" t="s">
        <v>428</v>
      </c>
      <c r="D46" s="1">
        <v>2</v>
      </c>
      <c r="E46">
        <v>35</v>
      </c>
      <c r="F46" t="s">
        <v>429</v>
      </c>
      <c r="G46" t="str">
        <f t="shared" si="4"/>
        <v>{2,35}</v>
      </c>
    </row>
    <row r="47" hidden="1" spans="1:7">
      <c r="A47" s="5">
        <v>10335</v>
      </c>
      <c r="B47" s="5"/>
      <c r="C47" t="s">
        <v>428</v>
      </c>
      <c r="D47" s="1">
        <v>2</v>
      </c>
      <c r="E47">
        <v>35</v>
      </c>
      <c r="F47" t="s">
        <v>429</v>
      </c>
      <c r="G47" t="str">
        <f t="shared" si="4"/>
        <v>{2,35}</v>
      </c>
    </row>
    <row r="48" hidden="1" spans="1:7">
      <c r="A48" s="5">
        <v>10336</v>
      </c>
      <c r="B48" s="5"/>
      <c r="C48" t="s">
        <v>428</v>
      </c>
      <c r="D48" s="1">
        <v>2</v>
      </c>
      <c r="E48">
        <v>35</v>
      </c>
      <c r="F48" t="s">
        <v>429</v>
      </c>
      <c r="G48" t="str">
        <f t="shared" si="4"/>
        <v>{2,35}</v>
      </c>
    </row>
    <row r="49" hidden="1" spans="1:7">
      <c r="A49" s="5">
        <v>10337</v>
      </c>
      <c r="B49" s="5"/>
      <c r="C49" t="s">
        <v>428</v>
      </c>
      <c r="D49" s="1">
        <v>2</v>
      </c>
      <c r="E49">
        <v>35</v>
      </c>
      <c r="F49" t="s">
        <v>429</v>
      </c>
      <c r="G49" t="str">
        <f t="shared" si="4"/>
        <v>{2,35}</v>
      </c>
    </row>
    <row r="50" hidden="1" spans="1:7">
      <c r="A50" s="5">
        <v>10338</v>
      </c>
      <c r="B50" s="5"/>
      <c r="C50" t="s">
        <v>428</v>
      </c>
      <c r="D50" s="1">
        <v>2</v>
      </c>
      <c r="E50">
        <v>35</v>
      </c>
      <c r="F50" t="s">
        <v>429</v>
      </c>
      <c r="G50" t="str">
        <f t="shared" si="4"/>
        <v>{2,35}</v>
      </c>
    </row>
    <row r="51" hidden="1" spans="1:7">
      <c r="A51" s="5">
        <v>10339</v>
      </c>
      <c r="B51" s="5"/>
      <c r="C51" t="s">
        <v>428</v>
      </c>
      <c r="D51" s="1">
        <v>2</v>
      </c>
      <c r="E51">
        <v>35</v>
      </c>
      <c r="F51" t="s">
        <v>429</v>
      </c>
      <c r="G51" t="str">
        <f t="shared" si="4"/>
        <v>{2,35}</v>
      </c>
    </row>
    <row r="52" hidden="1" spans="1:7">
      <c r="A52" s="5">
        <v>10340</v>
      </c>
      <c r="B52" s="5"/>
      <c r="C52" t="s">
        <v>428</v>
      </c>
      <c r="D52" s="1">
        <v>2</v>
      </c>
      <c r="E52">
        <v>35</v>
      </c>
      <c r="F52" t="s">
        <v>429</v>
      </c>
      <c r="G52" t="str">
        <f t="shared" si="4"/>
        <v>{2,35}</v>
      </c>
    </row>
    <row r="53" hidden="1" spans="1:7">
      <c r="A53" s="5">
        <v>10341</v>
      </c>
      <c r="B53" s="5"/>
      <c r="C53" t="s">
        <v>428</v>
      </c>
      <c r="D53" s="1">
        <v>2</v>
      </c>
      <c r="E53">
        <v>35</v>
      </c>
      <c r="F53" t="s">
        <v>429</v>
      </c>
      <c r="G53" t="str">
        <f t="shared" si="4"/>
        <v>{2,35}</v>
      </c>
    </row>
    <row r="54" hidden="1" spans="1:7">
      <c r="A54" s="5">
        <v>10342</v>
      </c>
      <c r="B54" s="5"/>
      <c r="C54" t="s">
        <v>428</v>
      </c>
      <c r="D54" s="1">
        <v>2</v>
      </c>
      <c r="E54">
        <v>35</v>
      </c>
      <c r="F54" t="s">
        <v>429</v>
      </c>
      <c r="G54" t="str">
        <f t="shared" si="4"/>
        <v>{2,35}</v>
      </c>
    </row>
    <row r="55" hidden="1" spans="1:7">
      <c r="A55" s="5">
        <v>10343</v>
      </c>
      <c r="B55" s="5"/>
      <c r="C55" t="s">
        <v>428</v>
      </c>
      <c r="D55" s="1">
        <v>2</v>
      </c>
      <c r="E55">
        <v>35</v>
      </c>
      <c r="F55" t="s">
        <v>429</v>
      </c>
      <c r="G55" t="str">
        <f t="shared" si="4"/>
        <v>{2,35}</v>
      </c>
    </row>
    <row r="56" hidden="1" spans="1:7">
      <c r="A56" s="5">
        <v>10344</v>
      </c>
      <c r="B56" s="5"/>
      <c r="C56" t="s">
        <v>428</v>
      </c>
      <c r="D56" s="1">
        <v>2</v>
      </c>
      <c r="E56">
        <v>35</v>
      </c>
      <c r="F56" t="s">
        <v>429</v>
      </c>
      <c r="G56" t="str">
        <f t="shared" si="4"/>
        <v>{2,35}</v>
      </c>
    </row>
    <row r="57" hidden="1" spans="1:7">
      <c r="A57" s="5">
        <v>10345</v>
      </c>
      <c r="B57" s="5"/>
      <c r="C57" t="s">
        <v>428</v>
      </c>
      <c r="D57" s="1">
        <v>2</v>
      </c>
      <c r="E57">
        <v>35</v>
      </c>
      <c r="F57" t="s">
        <v>429</v>
      </c>
      <c r="G57" t="str">
        <f t="shared" si="4"/>
        <v>{2,35}</v>
      </c>
    </row>
    <row r="58" hidden="1" spans="1:7">
      <c r="A58" s="5">
        <v>10346</v>
      </c>
      <c r="B58" s="5"/>
      <c r="C58" t="s">
        <v>428</v>
      </c>
      <c r="D58" s="1">
        <v>2</v>
      </c>
      <c r="E58">
        <v>35</v>
      </c>
      <c r="F58" t="s">
        <v>429</v>
      </c>
      <c r="G58" t="str">
        <f t="shared" si="4"/>
        <v>{2,35}</v>
      </c>
    </row>
    <row r="59" hidden="1" spans="1:7">
      <c r="A59" s="5">
        <v>10347</v>
      </c>
      <c r="B59" s="5"/>
      <c r="C59" t="s">
        <v>428</v>
      </c>
      <c r="D59" s="1">
        <v>2</v>
      </c>
      <c r="E59">
        <v>35</v>
      </c>
      <c r="F59" t="s">
        <v>429</v>
      </c>
      <c r="G59" t="str">
        <f t="shared" si="4"/>
        <v>{2,35}</v>
      </c>
    </row>
    <row r="60" hidden="1" spans="1:7">
      <c r="A60" s="5">
        <v>10348</v>
      </c>
      <c r="B60" s="5"/>
      <c r="C60" t="s">
        <v>428</v>
      </c>
      <c r="D60" s="1">
        <v>2</v>
      </c>
      <c r="E60">
        <v>35</v>
      </c>
      <c r="F60" t="s">
        <v>429</v>
      </c>
      <c r="G60" t="str">
        <f t="shared" si="4"/>
        <v>{2,35}</v>
      </c>
    </row>
    <row r="61" hidden="1" spans="1:7">
      <c r="A61" s="5">
        <v>10349</v>
      </c>
      <c r="B61" s="5"/>
      <c r="C61" t="s">
        <v>428</v>
      </c>
      <c r="D61" s="1">
        <v>2</v>
      </c>
      <c r="E61">
        <v>35</v>
      </c>
      <c r="F61" t="s">
        <v>429</v>
      </c>
      <c r="G61" t="str">
        <f t="shared" si="4"/>
        <v>{2,35}</v>
      </c>
    </row>
    <row r="62" hidden="1" spans="1:7">
      <c r="A62" s="5">
        <v>10350</v>
      </c>
      <c r="B62" s="5"/>
      <c r="C62" t="s">
        <v>428</v>
      </c>
      <c r="D62" s="1">
        <v>2</v>
      </c>
      <c r="E62">
        <v>35</v>
      </c>
      <c r="F62" t="s">
        <v>429</v>
      </c>
      <c r="G62" t="str">
        <f t="shared" si="4"/>
        <v>{2,35}</v>
      </c>
    </row>
    <row r="63" hidden="1" spans="1:7">
      <c r="A63" s="5">
        <v>10351</v>
      </c>
      <c r="B63" s="5"/>
      <c r="C63" t="s">
        <v>428</v>
      </c>
      <c r="D63" s="1">
        <v>2</v>
      </c>
      <c r="E63">
        <v>35</v>
      </c>
      <c r="F63" t="s">
        <v>429</v>
      </c>
      <c r="G63" t="str">
        <f t="shared" si="4"/>
        <v>{2,35}</v>
      </c>
    </row>
    <row r="64" hidden="1" spans="1:7">
      <c r="A64" s="5">
        <v>10352</v>
      </c>
      <c r="B64" s="5"/>
      <c r="C64" t="s">
        <v>428</v>
      </c>
      <c r="D64" s="1">
        <v>2</v>
      </c>
      <c r="E64">
        <v>35</v>
      </c>
      <c r="F64" t="s">
        <v>429</v>
      </c>
      <c r="G64" t="str">
        <f t="shared" ref="G64:G95" si="5">"{"&amp;D64&amp;","&amp;E64&amp;"}"</f>
        <v>{2,35}</v>
      </c>
    </row>
    <row r="65" hidden="1" spans="1:7">
      <c r="A65" s="5">
        <v>10353</v>
      </c>
      <c r="B65" s="5"/>
      <c r="C65" t="s">
        <v>428</v>
      </c>
      <c r="D65" s="1">
        <v>2</v>
      </c>
      <c r="E65">
        <v>35</v>
      </c>
      <c r="F65" t="s">
        <v>429</v>
      </c>
      <c r="G65" t="str">
        <f t="shared" si="5"/>
        <v>{2,35}</v>
      </c>
    </row>
    <row r="66" hidden="1" spans="1:7">
      <c r="A66" s="5">
        <v>10354</v>
      </c>
      <c r="B66" s="5"/>
      <c r="C66" t="s">
        <v>428</v>
      </c>
      <c r="D66" s="1">
        <v>2</v>
      </c>
      <c r="E66">
        <v>35</v>
      </c>
      <c r="F66" t="s">
        <v>429</v>
      </c>
      <c r="G66" t="str">
        <f t="shared" si="5"/>
        <v>{2,35}</v>
      </c>
    </row>
    <row r="67" hidden="1" spans="1:7">
      <c r="A67" s="5">
        <v>10355</v>
      </c>
      <c r="B67" s="5"/>
      <c r="C67" t="s">
        <v>428</v>
      </c>
      <c r="D67" s="1">
        <v>2</v>
      </c>
      <c r="E67">
        <v>35</v>
      </c>
      <c r="F67" t="s">
        <v>429</v>
      </c>
      <c r="G67" t="str">
        <f t="shared" si="5"/>
        <v>{2,35}</v>
      </c>
    </row>
    <row r="68" hidden="1" spans="1:7">
      <c r="A68" s="5">
        <v>10356</v>
      </c>
      <c r="B68" s="5"/>
      <c r="C68" t="s">
        <v>428</v>
      </c>
      <c r="D68" s="1">
        <v>2</v>
      </c>
      <c r="E68">
        <v>35</v>
      </c>
      <c r="F68" t="s">
        <v>429</v>
      </c>
      <c r="G68" t="str">
        <f t="shared" si="5"/>
        <v>{2,35}</v>
      </c>
    </row>
    <row r="69" hidden="1" spans="1:7">
      <c r="A69" s="5">
        <v>10357</v>
      </c>
      <c r="B69" s="5"/>
      <c r="C69" t="s">
        <v>428</v>
      </c>
      <c r="D69" s="1">
        <v>2</v>
      </c>
      <c r="E69">
        <v>35</v>
      </c>
      <c r="F69" t="s">
        <v>429</v>
      </c>
      <c r="G69" t="str">
        <f t="shared" si="5"/>
        <v>{2,35}</v>
      </c>
    </row>
    <row r="70" hidden="1" spans="1:7">
      <c r="A70" s="5">
        <v>10358</v>
      </c>
      <c r="B70" s="5"/>
      <c r="C70" t="s">
        <v>428</v>
      </c>
      <c r="D70" s="1">
        <v>2</v>
      </c>
      <c r="E70">
        <v>35</v>
      </c>
      <c r="F70" t="s">
        <v>429</v>
      </c>
      <c r="G70" t="str">
        <f t="shared" si="5"/>
        <v>{2,35}</v>
      </c>
    </row>
    <row r="71" hidden="1" spans="1:7">
      <c r="A71" s="5">
        <v>10359</v>
      </c>
      <c r="B71" s="5"/>
      <c r="C71" t="s">
        <v>428</v>
      </c>
      <c r="D71" s="1">
        <v>2</v>
      </c>
      <c r="E71">
        <v>35</v>
      </c>
      <c r="F71" t="s">
        <v>429</v>
      </c>
      <c r="G71" t="str">
        <f t="shared" si="5"/>
        <v>{2,35}</v>
      </c>
    </row>
    <row r="72" hidden="1" spans="1:7">
      <c r="A72" s="5">
        <v>10360</v>
      </c>
      <c r="B72" s="5"/>
      <c r="C72" t="s">
        <v>428</v>
      </c>
      <c r="D72" s="1">
        <v>2</v>
      </c>
      <c r="E72">
        <v>35</v>
      </c>
      <c r="F72" t="s">
        <v>429</v>
      </c>
      <c r="G72" t="str">
        <f t="shared" si="5"/>
        <v>{2,35}</v>
      </c>
    </row>
    <row r="73" hidden="1" spans="1:7">
      <c r="A73" s="5">
        <v>10361</v>
      </c>
      <c r="B73" s="5"/>
      <c r="C73" t="s">
        <v>428</v>
      </c>
      <c r="D73" s="1">
        <v>2</v>
      </c>
      <c r="E73">
        <v>35</v>
      </c>
      <c r="F73" t="s">
        <v>429</v>
      </c>
      <c r="G73" t="str">
        <f t="shared" si="5"/>
        <v>{2,35}</v>
      </c>
    </row>
    <row r="74" hidden="1" spans="1:7">
      <c r="A74" s="5">
        <v>10362</v>
      </c>
      <c r="B74" s="5"/>
      <c r="C74" t="s">
        <v>428</v>
      </c>
      <c r="D74" s="1">
        <v>2</v>
      </c>
      <c r="E74">
        <v>35</v>
      </c>
      <c r="F74" t="s">
        <v>429</v>
      </c>
      <c r="G74" t="str">
        <f t="shared" si="5"/>
        <v>{2,35}</v>
      </c>
    </row>
    <row r="75" hidden="1" spans="1:7">
      <c r="A75" s="5">
        <v>10363</v>
      </c>
      <c r="B75" s="5"/>
      <c r="C75" t="s">
        <v>428</v>
      </c>
      <c r="D75" s="1">
        <v>2</v>
      </c>
      <c r="E75">
        <v>35</v>
      </c>
      <c r="F75" t="s">
        <v>429</v>
      </c>
      <c r="G75" t="str">
        <f t="shared" si="5"/>
        <v>{2,35}</v>
      </c>
    </row>
    <row r="76" hidden="1" spans="1:7">
      <c r="A76" s="5">
        <v>10364</v>
      </c>
      <c r="B76" s="5"/>
      <c r="C76" t="s">
        <v>428</v>
      </c>
      <c r="D76" s="1">
        <v>2</v>
      </c>
      <c r="E76">
        <v>35</v>
      </c>
      <c r="F76" t="s">
        <v>429</v>
      </c>
      <c r="G76" t="str">
        <f t="shared" si="5"/>
        <v>{2,35}</v>
      </c>
    </row>
    <row r="77" hidden="1" spans="1:7">
      <c r="A77" s="5">
        <v>10365</v>
      </c>
      <c r="B77" s="5"/>
      <c r="C77" t="s">
        <v>428</v>
      </c>
      <c r="D77" s="1">
        <v>2</v>
      </c>
      <c r="E77">
        <v>35</v>
      </c>
      <c r="F77" t="s">
        <v>429</v>
      </c>
      <c r="G77" t="str">
        <f t="shared" si="5"/>
        <v>{2,35}</v>
      </c>
    </row>
    <row r="78" hidden="1" spans="1:7">
      <c r="A78" s="5">
        <v>10366</v>
      </c>
      <c r="B78" s="5"/>
      <c r="C78" t="s">
        <v>428</v>
      </c>
      <c r="D78" s="1">
        <v>2</v>
      </c>
      <c r="E78">
        <v>35</v>
      </c>
      <c r="F78" t="s">
        <v>429</v>
      </c>
      <c r="G78" t="str">
        <f t="shared" si="5"/>
        <v>{2,35}</v>
      </c>
    </row>
    <row r="79" hidden="1" spans="1:7">
      <c r="A79" s="5">
        <v>10367</v>
      </c>
      <c r="B79" s="5"/>
      <c r="C79" t="s">
        <v>428</v>
      </c>
      <c r="D79" s="1">
        <v>2</v>
      </c>
      <c r="E79">
        <v>35</v>
      </c>
      <c r="F79" t="s">
        <v>429</v>
      </c>
      <c r="G79" t="str">
        <f t="shared" si="5"/>
        <v>{2,35}</v>
      </c>
    </row>
    <row r="80" hidden="1" spans="1:7">
      <c r="A80" s="5">
        <v>10368</v>
      </c>
      <c r="B80" s="5"/>
      <c r="C80" t="s">
        <v>428</v>
      </c>
      <c r="D80" s="1">
        <v>2</v>
      </c>
      <c r="E80">
        <v>35</v>
      </c>
      <c r="F80" t="s">
        <v>429</v>
      </c>
      <c r="G80" t="str">
        <f t="shared" si="5"/>
        <v>{2,35}</v>
      </c>
    </row>
    <row r="81" hidden="1" spans="1:7">
      <c r="A81" s="5">
        <v>10369</v>
      </c>
      <c r="B81" s="5"/>
      <c r="C81" t="s">
        <v>428</v>
      </c>
      <c r="D81" s="1">
        <v>2</v>
      </c>
      <c r="E81">
        <v>35</v>
      </c>
      <c r="F81" t="s">
        <v>429</v>
      </c>
      <c r="G81" t="str">
        <f t="shared" si="5"/>
        <v>{2,35}</v>
      </c>
    </row>
    <row r="82" hidden="1" spans="1:7">
      <c r="A82" s="5">
        <v>10370</v>
      </c>
      <c r="B82" s="5"/>
      <c r="C82" t="s">
        <v>428</v>
      </c>
      <c r="D82" s="1">
        <v>2</v>
      </c>
      <c r="E82">
        <v>35</v>
      </c>
      <c r="F82" t="s">
        <v>429</v>
      </c>
      <c r="G82" t="str">
        <f t="shared" si="5"/>
        <v>{2,35}</v>
      </c>
    </row>
    <row r="83" hidden="1" spans="1:7">
      <c r="A83" s="5">
        <v>10371</v>
      </c>
      <c r="B83" s="5"/>
      <c r="C83" t="s">
        <v>428</v>
      </c>
      <c r="D83" s="1">
        <v>2</v>
      </c>
      <c r="E83">
        <v>35</v>
      </c>
      <c r="F83" t="s">
        <v>429</v>
      </c>
      <c r="G83" t="str">
        <f t="shared" si="5"/>
        <v>{2,35}</v>
      </c>
    </row>
    <row r="84" hidden="1" spans="1:7">
      <c r="A84" s="5">
        <v>10372</v>
      </c>
      <c r="B84" s="5"/>
      <c r="C84" t="s">
        <v>428</v>
      </c>
      <c r="D84" s="1">
        <v>2</v>
      </c>
      <c r="E84">
        <v>35</v>
      </c>
      <c r="F84" t="s">
        <v>429</v>
      </c>
      <c r="G84" t="str">
        <f t="shared" si="5"/>
        <v>{2,35}</v>
      </c>
    </row>
    <row r="85" hidden="1" spans="1:7">
      <c r="A85" s="5">
        <v>10373</v>
      </c>
      <c r="B85" s="5"/>
      <c r="C85" t="s">
        <v>428</v>
      </c>
      <c r="D85" s="1">
        <v>2</v>
      </c>
      <c r="E85">
        <v>35</v>
      </c>
      <c r="F85" t="s">
        <v>429</v>
      </c>
      <c r="G85" t="str">
        <f t="shared" si="5"/>
        <v>{2,35}</v>
      </c>
    </row>
    <row r="86" hidden="1" spans="1:7">
      <c r="A86" s="5">
        <v>10374</v>
      </c>
      <c r="B86" s="5"/>
      <c r="C86" t="s">
        <v>428</v>
      </c>
      <c r="D86" s="1">
        <v>2</v>
      </c>
      <c r="E86">
        <v>35</v>
      </c>
      <c r="F86" t="s">
        <v>429</v>
      </c>
      <c r="G86" t="str">
        <f t="shared" si="5"/>
        <v>{2,35}</v>
      </c>
    </row>
    <row r="87" hidden="1" spans="1:7">
      <c r="A87" s="5">
        <v>10375</v>
      </c>
      <c r="B87" s="5"/>
      <c r="C87" t="s">
        <v>428</v>
      </c>
      <c r="D87" s="1">
        <v>2</v>
      </c>
      <c r="E87">
        <v>35</v>
      </c>
      <c r="F87" t="s">
        <v>429</v>
      </c>
      <c r="G87" t="str">
        <f t="shared" si="5"/>
        <v>{2,35}</v>
      </c>
    </row>
    <row r="88" hidden="1" spans="1:7">
      <c r="A88" s="5">
        <v>10376</v>
      </c>
      <c r="B88" s="5"/>
      <c r="C88" t="s">
        <v>428</v>
      </c>
      <c r="D88" s="1">
        <v>2</v>
      </c>
      <c r="E88">
        <v>35</v>
      </c>
      <c r="F88" t="s">
        <v>429</v>
      </c>
      <c r="G88" t="str">
        <f t="shared" si="5"/>
        <v>{2,35}</v>
      </c>
    </row>
    <row r="89" hidden="1" spans="1:7">
      <c r="A89" s="5">
        <v>10377</v>
      </c>
      <c r="B89" s="5"/>
      <c r="C89" t="s">
        <v>428</v>
      </c>
      <c r="D89" s="1">
        <v>2</v>
      </c>
      <c r="E89">
        <v>35</v>
      </c>
      <c r="F89" t="s">
        <v>429</v>
      </c>
      <c r="G89" t="str">
        <f t="shared" si="5"/>
        <v>{2,35}</v>
      </c>
    </row>
    <row r="90" hidden="1" spans="1:7">
      <c r="A90" s="5">
        <v>10378</v>
      </c>
      <c r="B90" s="5"/>
      <c r="C90" t="s">
        <v>428</v>
      </c>
      <c r="D90" s="1">
        <v>2</v>
      </c>
      <c r="E90">
        <v>35</v>
      </c>
      <c r="F90" t="s">
        <v>429</v>
      </c>
      <c r="G90" t="str">
        <f t="shared" si="5"/>
        <v>{2,35}</v>
      </c>
    </row>
    <row r="91" hidden="1" spans="1:7">
      <c r="A91" s="5">
        <v>10379</v>
      </c>
      <c r="B91" s="5"/>
      <c r="C91" t="s">
        <v>428</v>
      </c>
      <c r="D91" s="1">
        <v>2</v>
      </c>
      <c r="E91">
        <v>35</v>
      </c>
      <c r="F91" t="s">
        <v>429</v>
      </c>
      <c r="G91" t="str">
        <f t="shared" si="5"/>
        <v>{2,35}</v>
      </c>
    </row>
    <row r="92" hidden="1" spans="1:7">
      <c r="A92" s="5">
        <v>10380</v>
      </c>
      <c r="B92" s="5"/>
      <c r="C92" t="s">
        <v>428</v>
      </c>
      <c r="D92" s="1">
        <v>2</v>
      </c>
      <c r="E92">
        <v>35</v>
      </c>
      <c r="F92" t="s">
        <v>429</v>
      </c>
      <c r="G92" t="str">
        <f t="shared" si="5"/>
        <v>{2,35}</v>
      </c>
    </row>
    <row r="93" hidden="1" spans="1:7">
      <c r="A93" s="5">
        <v>10381</v>
      </c>
      <c r="B93" s="5"/>
      <c r="C93" t="s">
        <v>428</v>
      </c>
      <c r="D93" s="1">
        <v>2</v>
      </c>
      <c r="E93">
        <v>35</v>
      </c>
      <c r="F93" t="s">
        <v>429</v>
      </c>
      <c r="G93" t="str">
        <f t="shared" si="5"/>
        <v>{2,35}</v>
      </c>
    </row>
    <row r="94" hidden="1" spans="1:7">
      <c r="A94" s="5">
        <v>10382</v>
      </c>
      <c r="B94" s="5"/>
      <c r="C94" t="s">
        <v>428</v>
      </c>
      <c r="D94" s="1">
        <v>2</v>
      </c>
      <c r="E94">
        <v>35</v>
      </c>
      <c r="F94" t="s">
        <v>429</v>
      </c>
      <c r="G94" t="str">
        <f t="shared" si="5"/>
        <v>{2,35}</v>
      </c>
    </row>
    <row r="95" hidden="1" spans="1:7">
      <c r="A95" s="5">
        <v>10383</v>
      </c>
      <c r="B95" s="5"/>
      <c r="C95" t="s">
        <v>428</v>
      </c>
      <c r="D95" s="1">
        <v>2</v>
      </c>
      <c r="E95">
        <v>35</v>
      </c>
      <c r="F95" t="s">
        <v>429</v>
      </c>
      <c r="G95" t="str">
        <f t="shared" si="5"/>
        <v>{2,35}</v>
      </c>
    </row>
    <row r="96" hidden="1" spans="1:7">
      <c r="A96" s="5">
        <v>10384</v>
      </c>
      <c r="B96" s="5"/>
      <c r="C96" t="s">
        <v>428</v>
      </c>
      <c r="D96" s="1">
        <v>2</v>
      </c>
      <c r="E96">
        <v>35</v>
      </c>
      <c r="F96" t="s">
        <v>429</v>
      </c>
      <c r="G96" t="str">
        <f t="shared" ref="G96:G113" si="6">"{"&amp;D96&amp;","&amp;E96&amp;"}"</f>
        <v>{2,35}</v>
      </c>
    </row>
    <row r="97" hidden="1" spans="1:7">
      <c r="A97" s="5">
        <v>10385</v>
      </c>
      <c r="B97" s="5"/>
      <c r="C97" t="s">
        <v>428</v>
      </c>
      <c r="D97" s="1">
        <v>2</v>
      </c>
      <c r="E97">
        <v>35</v>
      </c>
      <c r="F97" t="s">
        <v>429</v>
      </c>
      <c r="G97" t="str">
        <f t="shared" si="6"/>
        <v>{2,35}</v>
      </c>
    </row>
    <row r="98" hidden="1" spans="1:7">
      <c r="A98" s="5">
        <v>10386</v>
      </c>
      <c r="B98" s="5"/>
      <c r="C98" t="s">
        <v>428</v>
      </c>
      <c r="D98" s="1">
        <v>2</v>
      </c>
      <c r="E98">
        <v>35</v>
      </c>
      <c r="F98" t="s">
        <v>429</v>
      </c>
      <c r="G98" t="str">
        <f t="shared" si="6"/>
        <v>{2,35}</v>
      </c>
    </row>
    <row r="99" hidden="1" spans="1:7">
      <c r="A99" s="5">
        <v>10387</v>
      </c>
      <c r="B99" s="5"/>
      <c r="C99" t="s">
        <v>428</v>
      </c>
      <c r="D99" s="1">
        <v>2</v>
      </c>
      <c r="E99">
        <v>35</v>
      </c>
      <c r="F99" t="s">
        <v>429</v>
      </c>
      <c r="G99" t="str">
        <f t="shared" si="6"/>
        <v>{2,35}</v>
      </c>
    </row>
    <row r="100" hidden="1" spans="1:7">
      <c r="A100" s="5">
        <v>10388</v>
      </c>
      <c r="B100" s="5"/>
      <c r="C100" t="s">
        <v>428</v>
      </c>
      <c r="D100" s="1">
        <v>2</v>
      </c>
      <c r="E100">
        <v>35</v>
      </c>
      <c r="F100" t="s">
        <v>429</v>
      </c>
      <c r="G100" t="str">
        <f t="shared" si="6"/>
        <v>{2,35}</v>
      </c>
    </row>
    <row r="101" hidden="1" spans="1:7">
      <c r="A101" s="5">
        <v>10389</v>
      </c>
      <c r="B101" s="5"/>
      <c r="C101" t="s">
        <v>428</v>
      </c>
      <c r="D101" s="1">
        <v>2</v>
      </c>
      <c r="E101">
        <v>35</v>
      </c>
      <c r="F101" t="s">
        <v>429</v>
      </c>
      <c r="G101" t="str">
        <f t="shared" si="6"/>
        <v>{2,35}</v>
      </c>
    </row>
    <row r="102" hidden="1" spans="1:7">
      <c r="A102" s="5">
        <v>10390</v>
      </c>
      <c r="B102" s="5"/>
      <c r="C102" t="s">
        <v>428</v>
      </c>
      <c r="D102" s="1">
        <v>2</v>
      </c>
      <c r="E102">
        <v>35</v>
      </c>
      <c r="F102" t="s">
        <v>429</v>
      </c>
      <c r="G102" t="str">
        <f t="shared" si="6"/>
        <v>{2,35}</v>
      </c>
    </row>
    <row r="103" hidden="1" spans="1:7">
      <c r="A103" s="5">
        <v>10391</v>
      </c>
      <c r="B103" s="5"/>
      <c r="C103" t="s">
        <v>428</v>
      </c>
      <c r="D103" s="1">
        <v>2</v>
      </c>
      <c r="E103">
        <v>35</v>
      </c>
      <c r="F103" t="s">
        <v>429</v>
      </c>
      <c r="G103" t="str">
        <f t="shared" si="6"/>
        <v>{2,35}</v>
      </c>
    </row>
    <row r="104" hidden="1" spans="1:7">
      <c r="A104" s="5">
        <v>10392</v>
      </c>
      <c r="B104" s="5"/>
      <c r="C104" t="s">
        <v>428</v>
      </c>
      <c r="D104" s="1">
        <v>2</v>
      </c>
      <c r="E104">
        <v>35</v>
      </c>
      <c r="F104" t="s">
        <v>429</v>
      </c>
      <c r="G104" t="str">
        <f t="shared" si="6"/>
        <v>{2,35}</v>
      </c>
    </row>
    <row r="105" hidden="1" spans="1:7">
      <c r="A105" s="5">
        <v>10393</v>
      </c>
      <c r="B105" s="5"/>
      <c r="C105" t="s">
        <v>428</v>
      </c>
      <c r="D105" s="1">
        <v>2</v>
      </c>
      <c r="E105">
        <v>35</v>
      </c>
      <c r="F105" t="s">
        <v>429</v>
      </c>
      <c r="G105" t="str">
        <f t="shared" si="6"/>
        <v>{2,35}</v>
      </c>
    </row>
    <row r="106" hidden="1" spans="1:7">
      <c r="A106" s="5">
        <v>10394</v>
      </c>
      <c r="B106" s="5"/>
      <c r="C106" t="s">
        <v>428</v>
      </c>
      <c r="D106" s="1">
        <v>2</v>
      </c>
      <c r="E106">
        <v>35</v>
      </c>
      <c r="F106" t="s">
        <v>429</v>
      </c>
      <c r="G106" t="str">
        <f t="shared" si="6"/>
        <v>{2,35}</v>
      </c>
    </row>
    <row r="107" hidden="1" spans="1:7">
      <c r="A107" s="5">
        <v>10395</v>
      </c>
      <c r="B107" s="5"/>
      <c r="C107" t="s">
        <v>428</v>
      </c>
      <c r="D107" s="1">
        <v>2</v>
      </c>
      <c r="E107">
        <v>35</v>
      </c>
      <c r="F107" t="s">
        <v>429</v>
      </c>
      <c r="G107" t="str">
        <f t="shared" si="6"/>
        <v>{2,35}</v>
      </c>
    </row>
    <row r="108" hidden="1" spans="1:7">
      <c r="A108" s="5">
        <v>10396</v>
      </c>
      <c r="B108" s="5"/>
      <c r="C108" t="s">
        <v>428</v>
      </c>
      <c r="D108" s="1">
        <v>2</v>
      </c>
      <c r="E108">
        <v>35</v>
      </c>
      <c r="F108" t="s">
        <v>429</v>
      </c>
      <c r="G108" t="str">
        <f t="shared" si="6"/>
        <v>{2,35}</v>
      </c>
    </row>
    <row r="109" hidden="1" spans="1:7">
      <c r="A109" s="5">
        <v>10397</v>
      </c>
      <c r="B109" s="5"/>
      <c r="C109" t="s">
        <v>428</v>
      </c>
      <c r="D109" s="1">
        <v>2</v>
      </c>
      <c r="E109">
        <v>35</v>
      </c>
      <c r="F109" t="s">
        <v>429</v>
      </c>
      <c r="G109" t="str">
        <f t="shared" si="6"/>
        <v>{2,35}</v>
      </c>
    </row>
    <row r="110" hidden="1" spans="1:7">
      <c r="A110" s="5">
        <v>10398</v>
      </c>
      <c r="B110" s="5"/>
      <c r="C110" t="s">
        <v>428</v>
      </c>
      <c r="D110" s="1">
        <v>2</v>
      </c>
      <c r="E110">
        <v>35</v>
      </c>
      <c r="F110" t="s">
        <v>429</v>
      </c>
      <c r="G110" t="str">
        <f t="shared" si="6"/>
        <v>{2,35}</v>
      </c>
    </row>
    <row r="111" hidden="1" spans="1:7">
      <c r="A111" s="5">
        <v>10399</v>
      </c>
      <c r="B111" s="5"/>
      <c r="C111" t="s">
        <v>428</v>
      </c>
      <c r="D111" s="1">
        <v>2</v>
      </c>
      <c r="E111">
        <v>35</v>
      </c>
      <c r="F111" t="s">
        <v>429</v>
      </c>
      <c r="G111" t="str">
        <f t="shared" si="6"/>
        <v>{2,35}</v>
      </c>
    </row>
    <row r="112" hidden="1" spans="1:7">
      <c r="A112" s="5">
        <v>10400</v>
      </c>
      <c r="B112" s="5"/>
      <c r="C112" t="s">
        <v>428</v>
      </c>
      <c r="D112" s="1">
        <v>2</v>
      </c>
      <c r="E112">
        <v>35</v>
      </c>
      <c r="F112" t="s">
        <v>429</v>
      </c>
      <c r="G112" t="str">
        <f t="shared" si="6"/>
        <v>{2,35}</v>
      </c>
    </row>
    <row r="113" hidden="1" spans="1:7">
      <c r="A113" s="5">
        <v>10401</v>
      </c>
      <c r="B113" s="5"/>
      <c r="C113" t="s">
        <v>428</v>
      </c>
      <c r="D113" s="1">
        <v>2</v>
      </c>
      <c r="E113">
        <v>35</v>
      </c>
      <c r="F113" t="s">
        <v>429</v>
      </c>
      <c r="G113" t="str">
        <f t="shared" si="6"/>
        <v>{2,35}</v>
      </c>
    </row>
    <row r="114" spans="1:7">
      <c r="A114" s="7">
        <v>10401</v>
      </c>
      <c r="B114" s="7" t="s">
        <v>297</v>
      </c>
      <c r="C114" s="8" t="s">
        <v>428</v>
      </c>
      <c r="D114" s="7">
        <v>5</v>
      </c>
      <c r="E114" s="8">
        <v>210</v>
      </c>
      <c r="F114" s="8" t="s">
        <v>429</v>
      </c>
      <c r="G114" s="8" t="str">
        <f t="shared" ref="G114:G132" si="7">"{"&amp;D114&amp;","&amp;E114&amp;"}"</f>
        <v>{5,210}</v>
      </c>
    </row>
    <row r="115" spans="1:7">
      <c r="A115" s="7">
        <v>10402</v>
      </c>
      <c r="B115" s="7" t="s">
        <v>301</v>
      </c>
      <c r="C115" s="8" t="s">
        <v>428</v>
      </c>
      <c r="D115" s="7">
        <v>5</v>
      </c>
      <c r="E115" s="8">
        <v>220</v>
      </c>
      <c r="F115" s="8" t="s">
        <v>429</v>
      </c>
      <c r="G115" s="8" t="str">
        <f t="shared" si="7"/>
        <v>{5,220}</v>
      </c>
    </row>
    <row r="116" spans="1:7">
      <c r="A116" s="7">
        <v>10403</v>
      </c>
      <c r="B116" s="7" t="s">
        <v>304</v>
      </c>
      <c r="C116" s="8" t="s">
        <v>428</v>
      </c>
      <c r="D116" s="7">
        <v>5</v>
      </c>
      <c r="E116" s="8">
        <v>230</v>
      </c>
      <c r="F116" s="8" t="s">
        <v>429</v>
      </c>
      <c r="G116" s="8" t="str">
        <f t="shared" si="7"/>
        <v>{5,230}</v>
      </c>
    </row>
    <row r="117" spans="1:7">
      <c r="A117" s="7">
        <v>10408</v>
      </c>
      <c r="B117" s="7" t="s">
        <v>307</v>
      </c>
      <c r="C117" s="8" t="s">
        <v>428</v>
      </c>
      <c r="D117" s="7">
        <v>5</v>
      </c>
      <c r="E117" s="8">
        <v>240</v>
      </c>
      <c r="F117" s="8" t="s">
        <v>429</v>
      </c>
      <c r="G117" s="8" t="str">
        <f t="shared" si="7"/>
        <v>{5,240}</v>
      </c>
    </row>
    <row r="118" spans="1:7">
      <c r="A118" s="7">
        <v>10404</v>
      </c>
      <c r="B118" s="7" t="s">
        <v>309</v>
      </c>
      <c r="C118" s="8" t="s">
        <v>428</v>
      </c>
      <c r="D118" s="7">
        <v>5</v>
      </c>
      <c r="E118" s="8">
        <v>250</v>
      </c>
      <c r="F118" s="8" t="s">
        <v>429</v>
      </c>
      <c r="G118" s="8" t="str">
        <f t="shared" si="7"/>
        <v>{5,250}</v>
      </c>
    </row>
    <row r="119" spans="1:7">
      <c r="A119" s="7">
        <v>10405</v>
      </c>
      <c r="B119" s="7" t="s">
        <v>312</v>
      </c>
      <c r="C119" s="8" t="s">
        <v>428</v>
      </c>
      <c r="D119" s="7">
        <v>5</v>
      </c>
      <c r="E119" s="8">
        <v>260</v>
      </c>
      <c r="F119" s="8" t="s">
        <v>429</v>
      </c>
      <c r="G119" s="8" t="str">
        <f t="shared" si="7"/>
        <v>{5,260}</v>
      </c>
    </row>
    <row r="120" spans="1:7">
      <c r="A120" s="7">
        <v>10406</v>
      </c>
      <c r="B120" s="7" t="s">
        <v>314</v>
      </c>
      <c r="C120" s="8" t="s">
        <v>428</v>
      </c>
      <c r="D120" s="7">
        <v>5</v>
      </c>
      <c r="E120" s="8">
        <v>270</v>
      </c>
      <c r="F120" s="8" t="s">
        <v>429</v>
      </c>
      <c r="G120" s="8" t="str">
        <f t="shared" si="7"/>
        <v>{5,270}</v>
      </c>
    </row>
    <row r="121" spans="1:7">
      <c r="A121" s="7">
        <v>10409</v>
      </c>
      <c r="B121" s="7" t="s">
        <v>316</v>
      </c>
      <c r="C121" s="8" t="s">
        <v>428</v>
      </c>
      <c r="D121" s="7">
        <v>5</v>
      </c>
      <c r="E121" s="8">
        <v>280</v>
      </c>
      <c r="F121" s="8" t="s">
        <v>429</v>
      </c>
      <c r="G121" s="8" t="str">
        <f t="shared" si="7"/>
        <v>{5,280}</v>
      </c>
    </row>
    <row r="122" spans="1:7">
      <c r="A122" s="7">
        <v>10410</v>
      </c>
      <c r="B122" s="7" t="s">
        <v>318</v>
      </c>
      <c r="C122" s="8" t="s">
        <v>428</v>
      </c>
      <c r="D122" s="7">
        <v>5</v>
      </c>
      <c r="E122" s="8">
        <v>290</v>
      </c>
      <c r="F122" s="8" t="s">
        <v>429</v>
      </c>
      <c r="G122" s="8" t="str">
        <f t="shared" si="7"/>
        <v>{5,290}</v>
      </c>
    </row>
    <row r="123" spans="1:7">
      <c r="A123" s="7">
        <v>10407</v>
      </c>
      <c r="B123" s="7" t="s">
        <v>320</v>
      </c>
      <c r="C123" s="8" t="s">
        <v>428</v>
      </c>
      <c r="D123" s="7">
        <v>5</v>
      </c>
      <c r="E123" s="8">
        <v>300</v>
      </c>
      <c r="F123" s="8" t="s">
        <v>429</v>
      </c>
      <c r="G123" s="8" t="str">
        <f t="shared" si="7"/>
        <v>{5,300}</v>
      </c>
    </row>
    <row r="124" spans="1:7">
      <c r="A124" s="1">
        <v>10501</v>
      </c>
      <c r="B124" s="1" t="s">
        <v>322</v>
      </c>
      <c r="C124" t="s">
        <v>428</v>
      </c>
      <c r="D124" s="1">
        <v>2</v>
      </c>
      <c r="E124">
        <v>300</v>
      </c>
      <c r="F124" t="s">
        <v>429</v>
      </c>
      <c r="G124" t="str">
        <f t="shared" si="7"/>
        <v>{2,300}</v>
      </c>
    </row>
    <row r="125" spans="1:7">
      <c r="A125" s="1">
        <v>10502</v>
      </c>
      <c r="B125" s="1" t="s">
        <v>326</v>
      </c>
      <c r="C125" t="s">
        <v>428</v>
      </c>
      <c r="D125" s="1">
        <v>2</v>
      </c>
      <c r="E125">
        <v>300</v>
      </c>
      <c r="F125" t="s">
        <v>429</v>
      </c>
      <c r="G125" t="str">
        <f t="shared" si="7"/>
        <v>{2,300}</v>
      </c>
    </row>
    <row r="126" spans="1:7">
      <c r="A126" s="1">
        <v>10503</v>
      </c>
      <c r="B126" s="1" t="s">
        <v>328</v>
      </c>
      <c r="C126" t="s">
        <v>428</v>
      </c>
      <c r="D126" s="1">
        <v>2</v>
      </c>
      <c r="E126">
        <v>480</v>
      </c>
      <c r="F126" t="s">
        <v>429</v>
      </c>
      <c r="G126" t="str">
        <f t="shared" si="7"/>
        <v>{2,480}</v>
      </c>
    </row>
    <row r="127" spans="1:7">
      <c r="A127" s="1">
        <v>10504</v>
      </c>
      <c r="B127" s="1" t="s">
        <v>330</v>
      </c>
      <c r="C127" t="s">
        <v>428</v>
      </c>
      <c r="D127" s="1">
        <v>2</v>
      </c>
      <c r="E127">
        <v>1200</v>
      </c>
      <c r="F127" t="s">
        <v>429</v>
      </c>
      <c r="G127" t="str">
        <f t="shared" si="7"/>
        <v>{2,1200}</v>
      </c>
    </row>
    <row r="128" spans="1:7">
      <c r="A128" s="1">
        <v>10505</v>
      </c>
      <c r="B128" s="1" t="s">
        <v>333</v>
      </c>
      <c r="C128" t="s">
        <v>428</v>
      </c>
      <c r="D128" s="1">
        <v>2</v>
      </c>
      <c r="E128">
        <v>1920</v>
      </c>
      <c r="F128" t="s">
        <v>429</v>
      </c>
      <c r="G128" t="str">
        <f t="shared" si="7"/>
        <v>{2,1920}</v>
      </c>
    </row>
    <row r="129" spans="1:7">
      <c r="A129" s="1">
        <v>10506</v>
      </c>
      <c r="B129" s="1" t="s">
        <v>335</v>
      </c>
      <c r="C129" t="s">
        <v>428</v>
      </c>
      <c r="D129" s="1">
        <v>2</v>
      </c>
      <c r="E129">
        <v>3000</v>
      </c>
      <c r="F129" t="s">
        <v>429</v>
      </c>
      <c r="G129" t="str">
        <f t="shared" si="7"/>
        <v>{2,3000}</v>
      </c>
    </row>
    <row r="130" spans="1:7">
      <c r="A130" s="1">
        <v>10507</v>
      </c>
      <c r="B130" s="1" t="s">
        <v>338</v>
      </c>
      <c r="C130" t="s">
        <v>428</v>
      </c>
      <c r="D130" s="1">
        <v>2</v>
      </c>
      <c r="E130">
        <v>6000</v>
      </c>
      <c r="F130" t="s">
        <v>429</v>
      </c>
      <c r="G130" t="str">
        <f t="shared" si="7"/>
        <v>{2,6000}</v>
      </c>
    </row>
    <row r="131" spans="1:7">
      <c r="A131" s="1">
        <v>10508</v>
      </c>
      <c r="B131" s="1" t="s">
        <v>340</v>
      </c>
      <c r="C131" t="s">
        <v>428</v>
      </c>
      <c r="D131" s="1">
        <v>2</v>
      </c>
      <c r="E131">
        <v>9600</v>
      </c>
      <c r="F131" t="s">
        <v>429</v>
      </c>
      <c r="G131" t="str">
        <f t="shared" si="7"/>
        <v>{2,9600}</v>
      </c>
    </row>
    <row r="132" spans="1:7">
      <c r="A132" s="1">
        <v>10509</v>
      </c>
      <c r="B132" s="1" t="s">
        <v>343</v>
      </c>
      <c r="C132" t="s">
        <v>428</v>
      </c>
      <c r="D132" s="1">
        <v>2</v>
      </c>
      <c r="E132">
        <v>18000</v>
      </c>
      <c r="F132" t="s">
        <v>429</v>
      </c>
      <c r="G132" t="str">
        <f t="shared" si="7"/>
        <v>{2,18000}</v>
      </c>
    </row>
    <row r="133" spans="1:7">
      <c r="A133" s="1">
        <v>10510</v>
      </c>
      <c r="B133" s="1" t="s">
        <v>345</v>
      </c>
      <c r="C133" t="s">
        <v>428</v>
      </c>
      <c r="D133" s="1">
        <v>2</v>
      </c>
      <c r="E133">
        <v>38400</v>
      </c>
      <c r="F133" t="s">
        <v>429</v>
      </c>
      <c r="G133" t="str">
        <f t="shared" ref="G133:G164" si="8">"{"&amp;D133&amp;","&amp;E133&amp;"}"</f>
        <v>{2,38400}</v>
      </c>
    </row>
    <row r="134" spans="1:7">
      <c r="A134" s="7">
        <v>10601</v>
      </c>
      <c r="B134" s="7" t="s">
        <v>347</v>
      </c>
      <c r="C134" s="8" t="s">
        <v>428</v>
      </c>
      <c r="D134" s="7">
        <v>2</v>
      </c>
      <c r="E134" s="8">
        <v>50</v>
      </c>
      <c r="F134" s="8" t="s">
        <v>429</v>
      </c>
      <c r="G134" s="8" t="str">
        <f t="shared" si="8"/>
        <v>{2,50}</v>
      </c>
    </row>
    <row r="135" spans="1:7">
      <c r="A135" s="7">
        <v>10602</v>
      </c>
      <c r="B135" s="7" t="s">
        <v>348</v>
      </c>
      <c r="C135" s="8" t="s">
        <v>428</v>
      </c>
      <c r="D135" s="7">
        <v>2</v>
      </c>
      <c r="E135" s="8">
        <v>50</v>
      </c>
      <c r="F135" s="8" t="s">
        <v>429</v>
      </c>
      <c r="G135" s="8" t="str">
        <f t="shared" si="8"/>
        <v>{2,50}</v>
      </c>
    </row>
    <row r="136" spans="1:7">
      <c r="A136" s="7">
        <v>10603</v>
      </c>
      <c r="B136" s="7" t="s">
        <v>349</v>
      </c>
      <c r="C136" s="8" t="s">
        <v>428</v>
      </c>
      <c r="D136" s="7">
        <v>2</v>
      </c>
      <c r="E136" s="8">
        <v>200</v>
      </c>
      <c r="F136" s="8" t="s">
        <v>429</v>
      </c>
      <c r="G136" s="8" t="str">
        <f t="shared" si="8"/>
        <v>{2,200}</v>
      </c>
    </row>
    <row r="137" spans="1:7">
      <c r="A137" s="7">
        <v>10604</v>
      </c>
      <c r="B137" s="7" t="s">
        <v>350</v>
      </c>
      <c r="C137" s="8" t="s">
        <v>428</v>
      </c>
      <c r="D137" s="7">
        <v>2</v>
      </c>
      <c r="E137" s="8">
        <v>300</v>
      </c>
      <c r="F137" s="8" t="s">
        <v>429</v>
      </c>
      <c r="G137" s="8" t="str">
        <f t="shared" si="8"/>
        <v>{2,300}</v>
      </c>
    </row>
    <row r="138" spans="1:7">
      <c r="A138" s="7">
        <v>10605</v>
      </c>
      <c r="B138" s="7" t="s">
        <v>351</v>
      </c>
      <c r="C138" s="8" t="s">
        <v>428</v>
      </c>
      <c r="D138" s="7">
        <v>2</v>
      </c>
      <c r="E138" s="8">
        <v>600</v>
      </c>
      <c r="F138" s="8" t="s">
        <v>429</v>
      </c>
      <c r="G138" s="8" t="str">
        <f t="shared" si="8"/>
        <v>{2,600}</v>
      </c>
    </row>
    <row r="139" spans="1:7">
      <c r="A139" s="7">
        <v>10606</v>
      </c>
      <c r="B139" s="7" t="s">
        <v>352</v>
      </c>
      <c r="C139" s="8" t="s">
        <v>428</v>
      </c>
      <c r="D139" s="7">
        <v>2</v>
      </c>
      <c r="E139" s="8">
        <v>1800</v>
      </c>
      <c r="F139" s="8" t="s">
        <v>429</v>
      </c>
      <c r="G139" s="8" t="str">
        <f t="shared" si="8"/>
        <v>{2,1800}</v>
      </c>
    </row>
    <row r="140" spans="1:7">
      <c r="A140" s="7">
        <v>10607</v>
      </c>
      <c r="B140" s="7" t="s">
        <v>353</v>
      </c>
      <c r="C140" s="8" t="s">
        <v>428</v>
      </c>
      <c r="D140" s="7">
        <v>2</v>
      </c>
      <c r="E140" s="8">
        <v>3000</v>
      </c>
      <c r="F140" s="8" t="s">
        <v>429</v>
      </c>
      <c r="G140" s="8" t="str">
        <f t="shared" si="8"/>
        <v>{2,3000}</v>
      </c>
    </row>
    <row r="141" spans="1:7">
      <c r="A141" s="9">
        <v>10701</v>
      </c>
      <c r="B141" s="9" t="s">
        <v>354</v>
      </c>
      <c r="C141" t="s">
        <v>428</v>
      </c>
      <c r="D141" s="1">
        <v>2</v>
      </c>
      <c r="E141">
        <v>200</v>
      </c>
      <c r="F141" t="s">
        <v>429</v>
      </c>
      <c r="G141" t="str">
        <f t="shared" si="8"/>
        <v>{2,200}</v>
      </c>
    </row>
    <row r="142" spans="1:7">
      <c r="A142" s="9">
        <v>10702</v>
      </c>
      <c r="B142" s="9" t="s">
        <v>355</v>
      </c>
      <c r="C142" t="s">
        <v>428</v>
      </c>
      <c r="D142" s="1">
        <v>2</v>
      </c>
      <c r="E142">
        <v>300</v>
      </c>
      <c r="F142" t="s">
        <v>429</v>
      </c>
      <c r="G142" t="str">
        <f t="shared" si="8"/>
        <v>{2,300}</v>
      </c>
    </row>
    <row r="143" spans="1:7">
      <c r="A143" s="9">
        <v>10703</v>
      </c>
      <c r="B143" s="9" t="s">
        <v>356</v>
      </c>
      <c r="C143" t="s">
        <v>428</v>
      </c>
      <c r="D143" s="1">
        <v>2</v>
      </c>
      <c r="E143">
        <v>400</v>
      </c>
      <c r="F143" t="s">
        <v>429</v>
      </c>
      <c r="G143" t="str">
        <f t="shared" si="8"/>
        <v>{2,400}</v>
      </c>
    </row>
    <row r="144" spans="1:7">
      <c r="A144" s="9">
        <v>10704</v>
      </c>
      <c r="B144" s="9" t="s">
        <v>357</v>
      </c>
      <c r="C144" t="s">
        <v>428</v>
      </c>
      <c r="D144" s="1">
        <v>2</v>
      </c>
      <c r="E144">
        <v>500</v>
      </c>
      <c r="F144" t="s">
        <v>429</v>
      </c>
      <c r="G144" t="str">
        <f t="shared" si="8"/>
        <v>{2,500}</v>
      </c>
    </row>
    <row r="145" spans="1:7">
      <c r="A145" s="9">
        <v>10705</v>
      </c>
      <c r="B145" s="9" t="s">
        <v>358</v>
      </c>
      <c r="C145" t="s">
        <v>428</v>
      </c>
      <c r="D145" s="1">
        <v>2</v>
      </c>
      <c r="E145">
        <v>600</v>
      </c>
      <c r="F145" t="s">
        <v>429</v>
      </c>
      <c r="G145" t="str">
        <f t="shared" si="8"/>
        <v>{2,600}</v>
      </c>
    </row>
    <row r="146" spans="1:7">
      <c r="A146" s="9">
        <v>10706</v>
      </c>
      <c r="B146" s="9" t="s">
        <v>359</v>
      </c>
      <c r="C146" t="s">
        <v>428</v>
      </c>
      <c r="D146" s="1">
        <v>2</v>
      </c>
      <c r="E146">
        <v>700</v>
      </c>
      <c r="F146" t="s">
        <v>429</v>
      </c>
      <c r="G146" t="str">
        <f t="shared" si="8"/>
        <v>{2,700}</v>
      </c>
    </row>
    <row r="147" spans="1:7">
      <c r="A147" s="9">
        <v>10707</v>
      </c>
      <c r="B147" s="9" t="s">
        <v>360</v>
      </c>
      <c r="C147" t="s">
        <v>428</v>
      </c>
      <c r="D147" s="1">
        <v>2</v>
      </c>
      <c r="E147">
        <v>800</v>
      </c>
      <c r="F147" t="s">
        <v>429</v>
      </c>
      <c r="G147" t="str">
        <f t="shared" si="8"/>
        <v>{2,800}</v>
      </c>
    </row>
    <row r="148" spans="1:7">
      <c r="A148" s="9">
        <v>10708</v>
      </c>
      <c r="B148" s="9" t="s">
        <v>361</v>
      </c>
      <c r="C148" t="s">
        <v>428</v>
      </c>
      <c r="D148" s="1">
        <v>2</v>
      </c>
      <c r="E148">
        <v>900</v>
      </c>
      <c r="F148" t="s">
        <v>429</v>
      </c>
      <c r="G148" t="str">
        <f t="shared" si="8"/>
        <v>{2,900}</v>
      </c>
    </row>
    <row r="149" spans="1:7">
      <c r="A149" s="9">
        <v>10709</v>
      </c>
      <c r="B149" s="9" t="s">
        <v>362</v>
      </c>
      <c r="C149" t="s">
        <v>428</v>
      </c>
      <c r="D149" s="1">
        <v>2</v>
      </c>
      <c r="E149">
        <v>1000</v>
      </c>
      <c r="F149" t="s">
        <v>429</v>
      </c>
      <c r="G149" t="str">
        <f t="shared" si="8"/>
        <v>{2,1000}</v>
      </c>
    </row>
    <row r="150" spans="1:7">
      <c r="A150" s="9">
        <v>10710</v>
      </c>
      <c r="B150" s="9" t="s">
        <v>363</v>
      </c>
      <c r="C150" t="s">
        <v>428</v>
      </c>
      <c r="D150" s="1">
        <v>2</v>
      </c>
      <c r="E150">
        <v>1500</v>
      </c>
      <c r="F150" t="s">
        <v>429</v>
      </c>
      <c r="G150" t="str">
        <f t="shared" si="8"/>
        <v>{2,1500}</v>
      </c>
    </row>
    <row r="151" spans="1:7">
      <c r="A151" s="9">
        <v>10711</v>
      </c>
      <c r="B151" s="9" t="s">
        <v>364</v>
      </c>
      <c r="C151" t="s">
        <v>428</v>
      </c>
      <c r="D151" s="1">
        <v>2</v>
      </c>
      <c r="E151">
        <v>200</v>
      </c>
      <c r="F151" t="s">
        <v>429</v>
      </c>
      <c r="G151" t="str">
        <f t="shared" si="8"/>
        <v>{2,200}</v>
      </c>
    </row>
    <row r="152" spans="1:7">
      <c r="A152" s="9">
        <v>10712</v>
      </c>
      <c r="B152" s="9" t="s">
        <v>365</v>
      </c>
      <c r="C152" t="s">
        <v>428</v>
      </c>
      <c r="D152" s="1">
        <v>2</v>
      </c>
      <c r="E152">
        <v>300</v>
      </c>
      <c r="F152" t="s">
        <v>429</v>
      </c>
      <c r="G152" t="str">
        <f t="shared" si="8"/>
        <v>{2,300}</v>
      </c>
    </row>
    <row r="153" spans="1:7">
      <c r="A153" s="9">
        <v>10713</v>
      </c>
      <c r="B153" s="9" t="s">
        <v>366</v>
      </c>
      <c r="C153" t="s">
        <v>428</v>
      </c>
      <c r="D153" s="1">
        <v>2</v>
      </c>
      <c r="E153">
        <v>400</v>
      </c>
      <c r="F153" t="s">
        <v>429</v>
      </c>
      <c r="G153" t="str">
        <f t="shared" si="8"/>
        <v>{2,400}</v>
      </c>
    </row>
    <row r="154" spans="1:7">
      <c r="A154" s="9">
        <v>10714</v>
      </c>
      <c r="B154" s="9" t="s">
        <v>367</v>
      </c>
      <c r="C154" t="s">
        <v>428</v>
      </c>
      <c r="D154" s="1">
        <v>2</v>
      </c>
      <c r="E154">
        <v>500</v>
      </c>
      <c r="F154" t="s">
        <v>429</v>
      </c>
      <c r="G154" t="str">
        <f t="shared" si="8"/>
        <v>{2,500}</v>
      </c>
    </row>
    <row r="155" spans="1:7">
      <c r="A155" s="9">
        <v>10715</v>
      </c>
      <c r="B155" s="9" t="s">
        <v>368</v>
      </c>
      <c r="C155" t="s">
        <v>428</v>
      </c>
      <c r="D155" s="1">
        <v>2</v>
      </c>
      <c r="E155">
        <v>600</v>
      </c>
      <c r="F155" t="s">
        <v>429</v>
      </c>
      <c r="G155" t="str">
        <f t="shared" si="8"/>
        <v>{2,600}</v>
      </c>
    </row>
    <row r="156" spans="1:7">
      <c r="A156" s="9">
        <v>10716</v>
      </c>
      <c r="B156" s="9" t="s">
        <v>369</v>
      </c>
      <c r="C156" t="s">
        <v>428</v>
      </c>
      <c r="D156" s="1">
        <v>2</v>
      </c>
      <c r="E156">
        <v>700</v>
      </c>
      <c r="F156" t="s">
        <v>429</v>
      </c>
      <c r="G156" t="str">
        <f t="shared" si="8"/>
        <v>{2,700}</v>
      </c>
    </row>
    <row r="157" spans="1:7">
      <c r="A157" s="9">
        <v>10717</v>
      </c>
      <c r="B157" s="9" t="s">
        <v>370</v>
      </c>
      <c r="C157" t="s">
        <v>428</v>
      </c>
      <c r="D157" s="1">
        <v>2</v>
      </c>
      <c r="E157">
        <v>800</v>
      </c>
      <c r="F157" t="s">
        <v>429</v>
      </c>
      <c r="G157" t="str">
        <f t="shared" si="8"/>
        <v>{2,800}</v>
      </c>
    </row>
    <row r="158" spans="1:7">
      <c r="A158" s="9">
        <v>10718</v>
      </c>
      <c r="B158" s="9" t="s">
        <v>371</v>
      </c>
      <c r="C158" t="s">
        <v>428</v>
      </c>
      <c r="D158" s="1">
        <v>2</v>
      </c>
      <c r="E158">
        <v>900</v>
      </c>
      <c r="F158" t="s">
        <v>429</v>
      </c>
      <c r="G158" t="str">
        <f t="shared" si="8"/>
        <v>{2,900}</v>
      </c>
    </row>
    <row r="159" spans="1:7">
      <c r="A159" s="9">
        <v>10719</v>
      </c>
      <c r="B159" s="9" t="s">
        <v>372</v>
      </c>
      <c r="C159" t="s">
        <v>428</v>
      </c>
      <c r="D159" s="1">
        <v>2</v>
      </c>
      <c r="E159">
        <v>1000</v>
      </c>
      <c r="F159" t="s">
        <v>429</v>
      </c>
      <c r="G159" t="str">
        <f t="shared" si="8"/>
        <v>{2,1000}</v>
      </c>
    </row>
    <row r="160" spans="1:7">
      <c r="A160" s="9">
        <v>10720</v>
      </c>
      <c r="B160" s="9" t="s">
        <v>373</v>
      </c>
      <c r="C160" t="s">
        <v>428</v>
      </c>
      <c r="D160" s="1">
        <v>2</v>
      </c>
      <c r="E160">
        <v>1500</v>
      </c>
      <c r="F160" t="s">
        <v>429</v>
      </c>
      <c r="G160" t="str">
        <f t="shared" si="8"/>
        <v>{2,1500}</v>
      </c>
    </row>
    <row r="161" spans="1:7">
      <c r="A161" s="9">
        <v>10721</v>
      </c>
      <c r="B161" s="9" t="s">
        <v>374</v>
      </c>
      <c r="C161" t="s">
        <v>428</v>
      </c>
      <c r="D161" s="1">
        <v>2</v>
      </c>
      <c r="E161">
        <v>200</v>
      </c>
      <c r="F161" t="s">
        <v>429</v>
      </c>
      <c r="G161" t="str">
        <f t="shared" si="8"/>
        <v>{2,200}</v>
      </c>
    </row>
    <row r="162" spans="1:7">
      <c r="A162" s="9">
        <v>10722</v>
      </c>
      <c r="B162" s="9" t="s">
        <v>375</v>
      </c>
      <c r="C162" t="s">
        <v>428</v>
      </c>
      <c r="D162" s="1">
        <v>2</v>
      </c>
      <c r="E162">
        <v>300</v>
      </c>
      <c r="F162" t="s">
        <v>429</v>
      </c>
      <c r="G162" t="str">
        <f t="shared" si="8"/>
        <v>{2,300}</v>
      </c>
    </row>
    <row r="163" spans="1:7">
      <c r="A163" s="9">
        <v>10723</v>
      </c>
      <c r="B163" s="9" t="s">
        <v>376</v>
      </c>
      <c r="C163" t="s">
        <v>428</v>
      </c>
      <c r="D163" s="1">
        <v>2</v>
      </c>
      <c r="E163">
        <v>400</v>
      </c>
      <c r="F163" t="s">
        <v>429</v>
      </c>
      <c r="G163" t="str">
        <f t="shared" si="8"/>
        <v>{2,400}</v>
      </c>
    </row>
    <row r="164" spans="1:7">
      <c r="A164" s="9">
        <v>10724</v>
      </c>
      <c r="B164" s="9" t="s">
        <v>377</v>
      </c>
      <c r="C164" t="s">
        <v>428</v>
      </c>
      <c r="D164" s="1">
        <v>2</v>
      </c>
      <c r="E164">
        <v>500</v>
      </c>
      <c r="F164" t="s">
        <v>429</v>
      </c>
      <c r="G164" t="str">
        <f t="shared" si="8"/>
        <v>{2,500}</v>
      </c>
    </row>
    <row r="165" spans="1:7">
      <c r="A165" s="9">
        <v>10725</v>
      </c>
      <c r="B165" s="9" t="s">
        <v>378</v>
      </c>
      <c r="C165" t="s">
        <v>428</v>
      </c>
      <c r="D165" s="1">
        <v>2</v>
      </c>
      <c r="E165">
        <v>600</v>
      </c>
      <c r="F165" t="s">
        <v>429</v>
      </c>
      <c r="G165" t="str">
        <f t="shared" ref="G165:G202" si="9">"{"&amp;D165&amp;","&amp;E165&amp;"}"</f>
        <v>{2,600}</v>
      </c>
    </row>
    <row r="166" spans="1:7">
      <c r="A166" s="9">
        <v>10726</v>
      </c>
      <c r="B166" s="9" t="s">
        <v>379</v>
      </c>
      <c r="C166" t="s">
        <v>428</v>
      </c>
      <c r="D166" s="1">
        <v>2</v>
      </c>
      <c r="E166">
        <v>700</v>
      </c>
      <c r="F166" t="s">
        <v>429</v>
      </c>
      <c r="G166" t="str">
        <f t="shared" si="9"/>
        <v>{2,700}</v>
      </c>
    </row>
    <row r="167" spans="1:7">
      <c r="A167" s="9">
        <v>10727</v>
      </c>
      <c r="B167" s="9" t="s">
        <v>380</v>
      </c>
      <c r="C167" t="s">
        <v>428</v>
      </c>
      <c r="D167" s="1">
        <v>2</v>
      </c>
      <c r="E167">
        <v>800</v>
      </c>
      <c r="F167" t="s">
        <v>429</v>
      </c>
      <c r="G167" t="str">
        <f t="shared" si="9"/>
        <v>{2,800}</v>
      </c>
    </row>
    <row r="168" spans="1:7">
      <c r="A168" s="9">
        <v>10728</v>
      </c>
      <c r="B168" s="9" t="s">
        <v>381</v>
      </c>
      <c r="C168" t="s">
        <v>428</v>
      </c>
      <c r="D168" s="1">
        <v>2</v>
      </c>
      <c r="E168">
        <v>900</v>
      </c>
      <c r="F168" t="s">
        <v>429</v>
      </c>
      <c r="G168" t="str">
        <f t="shared" si="9"/>
        <v>{2,900}</v>
      </c>
    </row>
    <row r="169" spans="1:7">
      <c r="A169" s="9">
        <v>10729</v>
      </c>
      <c r="B169" s="9" t="s">
        <v>382</v>
      </c>
      <c r="C169" t="s">
        <v>428</v>
      </c>
      <c r="D169" s="1">
        <v>2</v>
      </c>
      <c r="E169">
        <v>1000</v>
      </c>
      <c r="F169" t="s">
        <v>429</v>
      </c>
      <c r="G169" t="str">
        <f t="shared" si="9"/>
        <v>{2,1000}</v>
      </c>
    </row>
    <row r="170" spans="1:7">
      <c r="A170" s="9">
        <v>10730</v>
      </c>
      <c r="B170" s="9" t="s">
        <v>383</v>
      </c>
      <c r="C170" t="s">
        <v>428</v>
      </c>
      <c r="D170" s="1">
        <v>2</v>
      </c>
      <c r="E170">
        <v>1500</v>
      </c>
      <c r="F170" t="s">
        <v>429</v>
      </c>
      <c r="G170" t="str">
        <f t="shared" si="9"/>
        <v>{2,1500}</v>
      </c>
    </row>
    <row r="171" spans="1:7">
      <c r="A171" s="9">
        <v>10731</v>
      </c>
      <c r="B171" s="9" t="s">
        <v>384</v>
      </c>
      <c r="C171" t="s">
        <v>428</v>
      </c>
      <c r="D171" s="1">
        <v>2</v>
      </c>
      <c r="E171">
        <v>200</v>
      </c>
      <c r="F171" t="s">
        <v>429</v>
      </c>
      <c r="G171" t="str">
        <f t="shared" si="9"/>
        <v>{2,200}</v>
      </c>
    </row>
    <row r="172" spans="1:7">
      <c r="A172" s="9">
        <v>10732</v>
      </c>
      <c r="B172" s="9" t="s">
        <v>385</v>
      </c>
      <c r="C172" t="s">
        <v>428</v>
      </c>
      <c r="D172" s="1">
        <v>2</v>
      </c>
      <c r="E172">
        <v>300</v>
      </c>
      <c r="F172" t="s">
        <v>429</v>
      </c>
      <c r="G172" t="str">
        <f t="shared" si="9"/>
        <v>{2,300}</v>
      </c>
    </row>
    <row r="173" spans="1:7">
      <c r="A173" s="9">
        <v>10733</v>
      </c>
      <c r="B173" s="9" t="s">
        <v>386</v>
      </c>
      <c r="C173" t="s">
        <v>428</v>
      </c>
      <c r="D173" s="1">
        <v>2</v>
      </c>
      <c r="E173">
        <v>400</v>
      </c>
      <c r="F173" t="s">
        <v>429</v>
      </c>
      <c r="G173" t="str">
        <f t="shared" si="9"/>
        <v>{2,400}</v>
      </c>
    </row>
    <row r="174" spans="1:7">
      <c r="A174" s="9">
        <v>10734</v>
      </c>
      <c r="B174" s="9" t="s">
        <v>387</v>
      </c>
      <c r="C174" t="s">
        <v>428</v>
      </c>
      <c r="D174" s="1">
        <v>2</v>
      </c>
      <c r="E174">
        <v>500</v>
      </c>
      <c r="F174" t="s">
        <v>429</v>
      </c>
      <c r="G174" t="str">
        <f t="shared" si="9"/>
        <v>{2,500}</v>
      </c>
    </row>
    <row r="175" spans="1:7">
      <c r="A175" s="9">
        <v>10735</v>
      </c>
      <c r="B175" s="9" t="s">
        <v>388</v>
      </c>
      <c r="C175" t="s">
        <v>428</v>
      </c>
      <c r="D175" s="1">
        <v>2</v>
      </c>
      <c r="E175">
        <v>600</v>
      </c>
      <c r="F175" t="s">
        <v>429</v>
      </c>
      <c r="G175" t="str">
        <f t="shared" si="9"/>
        <v>{2,600}</v>
      </c>
    </row>
    <row r="176" spans="1:7">
      <c r="A176" s="9">
        <v>10736</v>
      </c>
      <c r="B176" s="9" t="s">
        <v>389</v>
      </c>
      <c r="C176" t="s">
        <v>428</v>
      </c>
      <c r="D176" s="1">
        <v>2</v>
      </c>
      <c r="E176">
        <v>700</v>
      </c>
      <c r="F176" t="s">
        <v>429</v>
      </c>
      <c r="G176" t="str">
        <f t="shared" si="9"/>
        <v>{2,700}</v>
      </c>
    </row>
    <row r="177" spans="1:7">
      <c r="A177" s="9">
        <v>10737</v>
      </c>
      <c r="B177" s="9" t="s">
        <v>390</v>
      </c>
      <c r="C177" t="s">
        <v>428</v>
      </c>
      <c r="D177" s="1">
        <v>2</v>
      </c>
      <c r="E177">
        <v>800</v>
      </c>
      <c r="F177" t="s">
        <v>429</v>
      </c>
      <c r="G177" t="str">
        <f t="shared" si="9"/>
        <v>{2,800}</v>
      </c>
    </row>
    <row r="178" spans="1:7">
      <c r="A178" s="9">
        <v>10738</v>
      </c>
      <c r="B178" s="9" t="s">
        <v>391</v>
      </c>
      <c r="C178" t="s">
        <v>428</v>
      </c>
      <c r="D178" s="1">
        <v>2</v>
      </c>
      <c r="E178">
        <v>900</v>
      </c>
      <c r="F178" t="s">
        <v>429</v>
      </c>
      <c r="G178" t="str">
        <f t="shared" si="9"/>
        <v>{2,900}</v>
      </c>
    </row>
    <row r="179" spans="1:7">
      <c r="A179" s="9">
        <v>10739</v>
      </c>
      <c r="B179" s="9" t="s">
        <v>392</v>
      </c>
      <c r="C179" t="s">
        <v>428</v>
      </c>
      <c r="D179" s="1">
        <v>2</v>
      </c>
      <c r="E179">
        <v>1000</v>
      </c>
      <c r="F179" t="s">
        <v>429</v>
      </c>
      <c r="G179" t="str">
        <f t="shared" si="9"/>
        <v>{2,1000}</v>
      </c>
    </row>
    <row r="180" spans="1:7">
      <c r="A180" s="9">
        <v>10740</v>
      </c>
      <c r="B180" s="9" t="s">
        <v>393</v>
      </c>
      <c r="C180" t="s">
        <v>428</v>
      </c>
      <c r="D180" s="1">
        <v>2</v>
      </c>
      <c r="E180">
        <v>1500</v>
      </c>
      <c r="F180" t="s">
        <v>429</v>
      </c>
      <c r="G180" t="str">
        <f t="shared" si="9"/>
        <v>{2,1500}</v>
      </c>
    </row>
    <row r="181" spans="1:7">
      <c r="A181" s="9">
        <v>10741</v>
      </c>
      <c r="B181" s="9" t="s">
        <v>394</v>
      </c>
      <c r="C181" t="s">
        <v>428</v>
      </c>
      <c r="D181" s="1">
        <v>2</v>
      </c>
      <c r="E181">
        <v>200</v>
      </c>
      <c r="F181" t="s">
        <v>429</v>
      </c>
      <c r="G181" t="str">
        <f t="shared" si="9"/>
        <v>{2,200}</v>
      </c>
    </row>
    <row r="182" spans="1:7">
      <c r="A182" s="9">
        <v>10742</v>
      </c>
      <c r="B182" s="9" t="s">
        <v>395</v>
      </c>
      <c r="C182" t="s">
        <v>428</v>
      </c>
      <c r="D182" s="1">
        <v>2</v>
      </c>
      <c r="E182">
        <v>300</v>
      </c>
      <c r="F182" t="s">
        <v>429</v>
      </c>
      <c r="G182" t="str">
        <f t="shared" si="9"/>
        <v>{2,300}</v>
      </c>
    </row>
    <row r="183" spans="1:7">
      <c r="A183" s="9">
        <v>10743</v>
      </c>
      <c r="B183" s="9" t="s">
        <v>396</v>
      </c>
      <c r="C183" t="s">
        <v>428</v>
      </c>
      <c r="D183" s="1">
        <v>2</v>
      </c>
      <c r="E183">
        <v>400</v>
      </c>
      <c r="F183" t="s">
        <v>429</v>
      </c>
      <c r="G183" t="str">
        <f t="shared" si="9"/>
        <v>{2,400}</v>
      </c>
    </row>
    <row r="184" spans="1:7">
      <c r="A184" s="9">
        <v>10744</v>
      </c>
      <c r="B184" s="9" t="s">
        <v>397</v>
      </c>
      <c r="C184" t="s">
        <v>428</v>
      </c>
      <c r="D184" s="1">
        <v>2</v>
      </c>
      <c r="E184">
        <v>500</v>
      </c>
      <c r="F184" t="s">
        <v>429</v>
      </c>
      <c r="G184" t="str">
        <f t="shared" si="9"/>
        <v>{2,500}</v>
      </c>
    </row>
    <row r="185" spans="1:7">
      <c r="A185" s="9">
        <v>10745</v>
      </c>
      <c r="B185" s="9" t="s">
        <v>398</v>
      </c>
      <c r="C185" t="s">
        <v>428</v>
      </c>
      <c r="D185" s="1">
        <v>2</v>
      </c>
      <c r="E185">
        <v>600</v>
      </c>
      <c r="F185" t="s">
        <v>429</v>
      </c>
      <c r="G185" t="str">
        <f t="shared" si="9"/>
        <v>{2,600}</v>
      </c>
    </row>
    <row r="186" spans="1:7">
      <c r="A186" s="9">
        <v>10746</v>
      </c>
      <c r="B186" s="9" t="s">
        <v>399</v>
      </c>
      <c r="C186" t="s">
        <v>428</v>
      </c>
      <c r="D186" s="1">
        <v>2</v>
      </c>
      <c r="E186">
        <v>700</v>
      </c>
      <c r="F186" t="s">
        <v>429</v>
      </c>
      <c r="G186" t="str">
        <f t="shared" si="9"/>
        <v>{2,700}</v>
      </c>
    </row>
    <row r="187" spans="1:7">
      <c r="A187" s="9">
        <v>10747</v>
      </c>
      <c r="B187" s="9" t="s">
        <v>400</v>
      </c>
      <c r="C187" t="s">
        <v>428</v>
      </c>
      <c r="D187" s="1">
        <v>2</v>
      </c>
      <c r="E187">
        <v>800</v>
      </c>
      <c r="F187" t="s">
        <v>429</v>
      </c>
      <c r="G187" t="str">
        <f t="shared" si="9"/>
        <v>{2,800}</v>
      </c>
    </row>
    <row r="188" spans="1:7">
      <c r="A188" s="9">
        <v>10748</v>
      </c>
      <c r="B188" s="9" t="s">
        <v>401</v>
      </c>
      <c r="C188" t="s">
        <v>428</v>
      </c>
      <c r="D188" s="1">
        <v>2</v>
      </c>
      <c r="E188">
        <v>900</v>
      </c>
      <c r="F188" t="s">
        <v>429</v>
      </c>
      <c r="G188" t="str">
        <f t="shared" si="9"/>
        <v>{2,900}</v>
      </c>
    </row>
    <row r="189" spans="1:7">
      <c r="A189" s="9">
        <v>10749</v>
      </c>
      <c r="B189" s="9" t="s">
        <v>402</v>
      </c>
      <c r="C189" t="s">
        <v>428</v>
      </c>
      <c r="D189" s="1">
        <v>2</v>
      </c>
      <c r="E189">
        <v>1000</v>
      </c>
      <c r="F189" t="s">
        <v>429</v>
      </c>
      <c r="G189" t="str">
        <f t="shared" si="9"/>
        <v>{2,1000}</v>
      </c>
    </row>
    <row r="190" spans="1:7">
      <c r="A190" s="9">
        <v>10750</v>
      </c>
      <c r="B190" s="9" t="s">
        <v>403</v>
      </c>
      <c r="C190" t="s">
        <v>428</v>
      </c>
      <c r="D190" s="1">
        <v>2</v>
      </c>
      <c r="E190">
        <v>1500</v>
      </c>
      <c r="F190" t="s">
        <v>429</v>
      </c>
      <c r="G190" t="str">
        <f t="shared" si="9"/>
        <v>{2,1500}</v>
      </c>
    </row>
    <row r="191" spans="1:7">
      <c r="A191" s="9">
        <v>20001</v>
      </c>
      <c r="B191" s="9" t="s">
        <v>431</v>
      </c>
      <c r="C191" t="s">
        <v>428</v>
      </c>
      <c r="D191" s="1">
        <v>6</v>
      </c>
      <c r="E191">
        <v>1</v>
      </c>
      <c r="F191" t="s">
        <v>429</v>
      </c>
      <c r="G191" t="str">
        <f t="shared" si="9"/>
        <v>{6,1}</v>
      </c>
    </row>
    <row r="192" spans="1:7">
      <c r="A192" s="9">
        <v>20002</v>
      </c>
      <c r="B192" s="9" t="s">
        <v>432</v>
      </c>
      <c r="C192" t="s">
        <v>428</v>
      </c>
      <c r="D192" s="1">
        <v>6</v>
      </c>
      <c r="E192">
        <v>1</v>
      </c>
      <c r="F192" t="s">
        <v>429</v>
      </c>
      <c r="G192" t="str">
        <f t="shared" si="9"/>
        <v>{6,1}</v>
      </c>
    </row>
    <row r="193" spans="1:7">
      <c r="A193" s="9">
        <v>20003</v>
      </c>
      <c r="B193" s="9" t="s">
        <v>433</v>
      </c>
      <c r="C193" t="s">
        <v>428</v>
      </c>
      <c r="D193" s="1">
        <v>6</v>
      </c>
      <c r="E193">
        <v>1</v>
      </c>
      <c r="F193" t="s">
        <v>429</v>
      </c>
      <c r="G193" t="str">
        <f t="shared" si="9"/>
        <v>{6,1}</v>
      </c>
    </row>
    <row r="194" spans="1:7">
      <c r="A194" s="9">
        <v>20004</v>
      </c>
      <c r="B194" s="9" t="s">
        <v>434</v>
      </c>
      <c r="C194" t="s">
        <v>428</v>
      </c>
      <c r="D194" s="1">
        <v>6</v>
      </c>
      <c r="E194">
        <v>1</v>
      </c>
      <c r="F194" t="s">
        <v>429</v>
      </c>
      <c r="G194" t="str">
        <f t="shared" si="9"/>
        <v>{6,1}</v>
      </c>
    </row>
    <row r="195" spans="1:7">
      <c r="A195" s="9">
        <v>20008</v>
      </c>
      <c r="B195" s="9" t="s">
        <v>412</v>
      </c>
      <c r="C195" t="s">
        <v>428</v>
      </c>
      <c r="D195" s="1">
        <v>6</v>
      </c>
      <c r="E195">
        <v>1</v>
      </c>
      <c r="F195" t="s">
        <v>429</v>
      </c>
      <c r="G195" t="str">
        <f t="shared" si="9"/>
        <v>{6,1}</v>
      </c>
    </row>
    <row r="196" spans="1:7">
      <c r="A196" s="9">
        <v>20009</v>
      </c>
      <c r="B196" s="9" t="s">
        <v>414</v>
      </c>
      <c r="C196" t="s">
        <v>428</v>
      </c>
      <c r="D196" s="1">
        <v>6</v>
      </c>
      <c r="E196">
        <v>1</v>
      </c>
      <c r="F196" t="s">
        <v>429</v>
      </c>
      <c r="G196" t="str">
        <f t="shared" si="9"/>
        <v>{6,1}</v>
      </c>
    </row>
    <row r="197" spans="1:7">
      <c r="A197" s="9">
        <v>20010</v>
      </c>
      <c r="B197" s="9" t="s">
        <v>416</v>
      </c>
      <c r="C197" t="s">
        <v>428</v>
      </c>
      <c r="D197" s="1">
        <v>6</v>
      </c>
      <c r="E197">
        <v>1</v>
      </c>
      <c r="F197" t="s">
        <v>429</v>
      </c>
      <c r="G197" t="str">
        <f t="shared" si="9"/>
        <v>{6,1}</v>
      </c>
    </row>
    <row r="198" spans="1:7">
      <c r="A198" s="9">
        <v>20011</v>
      </c>
      <c r="B198" s="9" t="s">
        <v>418</v>
      </c>
      <c r="C198" t="s">
        <v>428</v>
      </c>
      <c r="D198" s="1">
        <v>6</v>
      </c>
      <c r="E198">
        <v>1</v>
      </c>
      <c r="F198" t="s">
        <v>429</v>
      </c>
      <c r="G198" t="str">
        <f t="shared" si="9"/>
        <v>{6,1}</v>
      </c>
    </row>
    <row r="199" spans="1:7">
      <c r="A199" s="9">
        <v>20012</v>
      </c>
      <c r="B199" s="9" t="s">
        <v>420</v>
      </c>
      <c r="C199" t="s">
        <v>428</v>
      </c>
      <c r="D199" s="1">
        <v>6</v>
      </c>
      <c r="E199">
        <v>1</v>
      </c>
      <c r="F199" t="s">
        <v>429</v>
      </c>
      <c r="G199" t="str">
        <f t="shared" si="9"/>
        <v>{6,1}</v>
      </c>
    </row>
    <row r="200" spans="1:7">
      <c r="A200" s="9">
        <v>20013</v>
      </c>
      <c r="B200" s="9" t="s">
        <v>422</v>
      </c>
      <c r="C200" t="s">
        <v>428</v>
      </c>
      <c r="D200" s="1">
        <v>6</v>
      </c>
      <c r="E200">
        <v>1</v>
      </c>
      <c r="F200" t="s">
        <v>429</v>
      </c>
      <c r="G200" t="str">
        <f t="shared" si="9"/>
        <v>{6,1}</v>
      </c>
    </row>
    <row r="201" spans="1:7">
      <c r="A201" s="9">
        <v>20014</v>
      </c>
      <c r="B201" s="9" t="s">
        <v>424</v>
      </c>
      <c r="C201" t="s">
        <v>428</v>
      </c>
      <c r="D201" s="1">
        <v>6</v>
      </c>
      <c r="E201">
        <v>1</v>
      </c>
      <c r="F201" t="s">
        <v>429</v>
      </c>
      <c r="G201" t="str">
        <f t="shared" si="9"/>
        <v>{6,1}</v>
      </c>
    </row>
    <row r="202" spans="1:7">
      <c r="A202" s="9">
        <v>21000</v>
      </c>
      <c r="B202" s="9" t="s">
        <v>426</v>
      </c>
      <c r="C202" t="s">
        <v>428</v>
      </c>
      <c r="D202" s="9"/>
      <c r="F202" t="s">
        <v>429</v>
      </c>
      <c r="G202" t="str">
        <f t="shared" si="9"/>
        <v>{,}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WPS_1725847827</cp:lastModifiedBy>
  <dcterms:created xsi:type="dcterms:W3CDTF">2006-09-16T08:00:00Z</dcterms:created>
  <dcterms:modified xsi:type="dcterms:W3CDTF">2025-04-10T04:13:21Z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2052-12.1.0.20784</vt:lpwstr>
  </property>
</Properties>
</file>