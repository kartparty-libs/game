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1000000000
9个0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1、首充双倍
2、0.1U特惠礼包
3、超值礼包
4、免费礼包
5、电羊特惠礼包</t>
        </r>
      </text>
    </comment>
  </commentList>
</comments>
</file>

<file path=xl/sharedStrings.xml><?xml version="1.0" encoding="utf-8"?>
<sst xmlns="http://schemas.openxmlformats.org/spreadsheetml/2006/main" count="160" uniqueCount="105">
  <si>
    <t>#配制表</t>
  </si>
  <si>
    <t>#define</t>
  </si>
  <si>
    <t>cs</t>
  </si>
  <si>
    <t>c</t>
  </si>
  <si>
    <t>#name</t>
  </si>
  <si>
    <t>Id</t>
  </si>
  <si>
    <t>#info</t>
  </si>
  <si>
    <t>Type</t>
  </si>
  <si>
    <t>Cost</t>
  </si>
  <si>
    <t>TonCost</t>
  </si>
  <si>
    <t>ShopItems</t>
  </si>
  <si>
    <t>GiveShopItems</t>
  </si>
  <si>
    <t>DoubleShow</t>
  </si>
  <si>
    <t>ItemId</t>
  </si>
  <si>
    <t>Count</t>
  </si>
  <si>
    <t>IconType</t>
  </si>
  <si>
    <t>TodayBuyCount</t>
  </si>
  <si>
    <t>TotalBuyCount</t>
  </si>
  <si>
    <t>Desc</t>
  </si>
  <si>
    <t>IsOpen</t>
  </si>
  <si>
    <t>Icon</t>
  </si>
  <si>
    <t>#type</t>
  </si>
  <si>
    <t>index#int</t>
  </si>
  <si>
    <t>string</t>
  </si>
  <si>
    <t>int</t>
  </si>
  <si>
    <t>CfgItemData[]</t>
  </si>
  <si>
    <t>int[]</t>
  </si>
  <si>
    <t>bool</t>
  </si>
  <si>
    <t>#备注</t>
  </si>
  <si>
    <t>礼包类型</t>
  </si>
  <si>
    <t>价格/1000</t>
  </si>
  <si>
    <t>道具组</t>
  </si>
  <si>
    <t>赠送道具组</t>
  </si>
  <si>
    <t>双倍数字</t>
  </si>
  <si>
    <t>道具组 弃用</t>
  </si>
  <si>
    <t>奖励值 弃用</t>
  </si>
  <si>
    <t>图标显示类型0-4</t>
  </si>
  <si>
    <t>每日购买次数限制</t>
  </si>
  <si>
    <t>总购买次数限制</t>
  </si>
  <si>
    <t>介绍</t>
  </si>
  <si>
    <t>是否开启投放</t>
  </si>
  <si>
    <t>每日免费礼包</t>
  </si>
  <si>
    <t>{{1,100000}}</t>
  </si>
  <si>
    <t>{1}</t>
  </si>
  <si>
    <t>Assets/Res/Sprites/Items/libao_chaopiao_dan.png</t>
  </si>
  <si>
    <t>0.1U特惠礼包</t>
  </si>
  <si>
    <t>{{2,40}}</t>
  </si>
  <si>
    <t>+40</t>
  </si>
  <si>
    <t>{2}</t>
  </si>
  <si>
    <t>{80}</t>
  </si>
  <si>
    <t>Assets/Res/Sprites/Items/libao_zuanshi_shao.png</t>
  </si>
  <si>
    <t>首次双倍礼包</t>
  </si>
  <si>
    <t>{{2,300}}</t>
  </si>
  <si>
    <t>+300</t>
  </si>
  <si>
    <t>{{2,1500}}</t>
  </si>
  <si>
    <t>+1500</t>
  </si>
  <si>
    <t>{{2,4050}}</t>
  </si>
  <si>
    <t>{{201,1}}</t>
  </si>
  <si>
    <t>+4050</t>
  </si>
  <si>
    <t>Assets/Res/Sprites/Items/shangdian_zuanshika_xiao.png</t>
  </si>
  <si>
    <t>{{2,8100}}</t>
  </si>
  <si>
    <t>{{201,2}}</t>
  </si>
  <si>
    <t>+8100</t>
  </si>
  <si>
    <t>Assets/Res/Sprites/Items/shangdian_zuanshika_zhong.png</t>
  </si>
  <si>
    <t>{{2,20700}}</t>
  </si>
  <si>
    <t>{{201,4}}</t>
  </si>
  <si>
    <t>+20700</t>
  </si>
  <si>
    <t>{{2,39000}}</t>
  </si>
  <si>
    <t>{{201,8}}</t>
  </si>
  <si>
    <t>+39000</t>
  </si>
  <si>
    <t>Assets/Res/Sprites/Items/shangdian_zuanshika_da.png</t>
  </si>
  <si>
    <t>{{2,150000}}</t>
  </si>
  <si>
    <t>{{201,32}}</t>
  </si>
  <si>
    <t>+150000</t>
  </si>
  <si>
    <t>Assets/Res/Sprites/Items/shangdian_zuanshika_baoxiang.png</t>
  </si>
  <si>
    <t>{{2,300000}}</t>
  </si>
  <si>
    <t>{{201,68}}</t>
  </si>
  <si>
    <t>+300000</t>
  </si>
  <si>
    <t>{{2,900}}</t>
  </si>
  <si>
    <t>{{2,4500}}</t>
  </si>
  <si>
    <t>电羊礼包1</t>
  </si>
  <si>
    <t>{{2,360}}</t>
  </si>
  <si>
    <t>电羊礼包2</t>
  </si>
  <si>
    <t>{{2,1500},{1,300000}}</t>
  </si>
  <si>
    <t>{2,1}</t>
  </si>
  <si>
    <t>{1500,300000}</t>
  </si>
  <si>
    <t>电羊礼包3</t>
  </si>
  <si>
    <t>{{2,20700},{1,4000000}}</t>
  </si>
  <si>
    <t>{20700,4000000}</t>
  </si>
  <si>
    <t>电羊礼包4</t>
  </si>
  <si>
    <t>{{2,46800}}</t>
  </si>
  <si>
    <t>运营礼包10U</t>
  </si>
  <si>
    <t>运营礼包400U</t>
  </si>
  <si>
    <t>{{2,147300},{1,8000000}}</t>
  </si>
  <si>
    <t>{147300,8000000}</t>
  </si>
  <si>
    <t>运营礼包100U</t>
  </si>
  <si>
    <t>{{2,40500},{1,300000}}</t>
  </si>
  <si>
    <t>{40500,300000}</t>
  </si>
  <si>
    <t>运营礼包200U</t>
  </si>
  <si>
    <t>{{2,85000}}</t>
  </si>
  <si>
    <t>运营礼包500U</t>
  </si>
  <si>
    <t>{{2,200000},{1,8000000}}</t>
  </si>
  <si>
    <t>{200000,8000000}</t>
  </si>
  <si>
    <t>运营礼包1000U</t>
  </si>
  <si>
    <t>{{2,500000}}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</si>
</sst>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9">
    <xf numFmtId="0" fontId="0" fillId="0" borderId="0" xfId="0"/>
    <xf numFmtId="49" fontId="0" fillId="2" borderId="0" xfId="0" applyNumberFormat="1" applyFill="1"/>
    <xf numFmtId="49" fontId="0" fillId="3" borderId="0" xfId="0" applyNumberFormat="1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NumberFormat="1" applyFill="1" applyAlignment="1">
      <alignment horizontal="center"/>
    </xf>
    <xf numFmtId="49" fontId="0" fillId="2" borderId="0" xfId="0" applyNumberFormat="1" applyFont="1" applyFill="1" applyAlignment="1">
      <alignment horizontal="center"/>
    </xf>
    <xf numFmtId="49" fontId="0" fillId="0" borderId="0" xfId="0" applyNumberFormat="1" applyFont="1"/>
    <xf numFmtId="3" fontId="0" fillId="0" borderId="0" xfId="0" applyNumberFormat="1" applyAlignment="1">
      <alignment horizontal="center"/>
    </xf>
    <xf numFmtId="0" fontId="0" fillId="4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3" borderId="0" xfId="0" applyNumberFormat="1" applyFill="1" applyAlignment="1">
      <alignment horizontal="left"/>
    </xf>
    <xf numFmtId="49" fontId="0" fillId="3" borderId="0" xfId="0" applyNumberFormat="1" applyFont="1" applyFill="1"/>
    <xf numFmtId="49" fontId="0" fillId="3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left"/>
    </xf>
    <xf numFmtId="176" fontId="0" fillId="4" borderId="0" xfId="0" applyNumberFormat="1" applyFill="1" applyAlignment="1">
      <alignment horizontal="center"/>
    </xf>
    <xf numFmtId="0" fontId="0" fillId="0" borderId="0" xfId="0" applyNumberFormat="1" applyAlignment="1">
      <alignment horizontal="left"/>
    </xf>
    <xf numFmtId="176" fontId="0" fillId="3" borderId="0" xfId="0" applyNumberFormat="1" applyFill="1" applyAlignment="1">
      <alignment horizontal="center"/>
    </xf>
    <xf numFmtId="0" fontId="1" fillId="0" borderId="0" xfId="0" applyNumberFormat="1" applyFont="1" applyAlignment="1">
      <alignment horizontal="center"/>
    </xf>
    <xf numFmtId="49" fontId="0" fillId="5" borderId="0" xfId="0" applyNumberFormat="1" applyFill="1" applyAlignment="1">
      <alignment horizontal="center"/>
    </xf>
    <xf numFmtId="0" fontId="0" fillId="0" borderId="0" xfId="0" applyNumberFormat="1" applyFont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4" borderId="0" xfId="0" applyNumberFormat="1" applyFont="1" applyFill="1" applyAlignment="1">
      <alignment horizontal="center"/>
    </xf>
    <xf numFmtId="0" fontId="0" fillId="3" borderId="0" xfId="0" applyNumberFormat="1" applyFont="1" applyFill="1" applyAlignment="1">
      <alignment horizontal="center"/>
    </xf>
    <xf numFmtId="0" fontId="0" fillId="5" borderId="0" xfId="0" applyNumberFormat="1" applyFill="1" applyAlignment="1">
      <alignment horizontal="center"/>
    </xf>
    <xf numFmtId="49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workbookViewId="0">
      <selection activeCell="G20" sqref="G20"/>
    </sheetView>
  </sheetViews>
  <sheetFormatPr defaultColWidth="9" defaultRowHeight="13.5"/>
  <cols>
    <col min="1" max="1" width="3" style="3" customWidth="1"/>
    <col min="2" max="2" width="10.375" style="3" customWidth="1"/>
    <col min="3" max="3" width="14.875" style="3" customWidth="1"/>
    <col min="4" max="4" width="17.25" style="4" customWidth="1"/>
    <col min="5" max="5" width="32.75" style="4" customWidth="1"/>
    <col min="6" max="6" width="29.625" style="4" customWidth="1"/>
    <col min="7" max="7" width="29.625" style="5" customWidth="1"/>
    <col min="8" max="8" width="16.25" style="5" customWidth="1"/>
    <col min="9" max="9" width="15.5" style="4" customWidth="1"/>
    <col min="10" max="10" width="27.375" style="4" hidden="1" customWidth="1"/>
    <col min="11" max="11" width="24.125" style="4" hidden="1" customWidth="1"/>
    <col min="12" max="14" width="24.125" style="4" customWidth="1"/>
    <col min="15" max="15" width="4.75" style="4" customWidth="1"/>
    <col min="16" max="16" width="12.875" style="4" customWidth="1"/>
    <col min="17" max="17" width="63.75" style="3" customWidth="1"/>
    <col min="18" max="16384" width="9" style="3"/>
  </cols>
  <sheetData>
    <row r="1" s="1" customFormat="1" spans="1:16">
      <c r="A1" s="1" t="s">
        <v>0</v>
      </c>
      <c r="D1" s="6"/>
      <c r="E1" s="6"/>
      <c r="F1" s="6"/>
      <c r="G1" s="7"/>
      <c r="H1" s="7"/>
      <c r="I1" s="6"/>
      <c r="J1" s="22"/>
      <c r="K1" s="22"/>
      <c r="L1" s="6"/>
      <c r="M1" s="6"/>
      <c r="N1" s="6"/>
      <c r="O1" s="6"/>
      <c r="P1" s="6"/>
    </row>
    <row r="2" s="1" customFormat="1" spans="1:17">
      <c r="A2" s="1" t="s">
        <v>1</v>
      </c>
      <c r="B2" s="1" t="s">
        <v>2</v>
      </c>
      <c r="C2" s="1" t="s">
        <v>3</v>
      </c>
      <c r="D2" s="6" t="s">
        <v>2</v>
      </c>
      <c r="E2" s="6" t="s">
        <v>2</v>
      </c>
      <c r="F2" s="6" t="s">
        <v>2</v>
      </c>
      <c r="G2" s="7" t="s">
        <v>2</v>
      </c>
      <c r="H2" s="7" t="s">
        <v>2</v>
      </c>
      <c r="I2" s="6" t="s">
        <v>3</v>
      </c>
      <c r="J2" s="22" t="s">
        <v>2</v>
      </c>
      <c r="K2" s="22" t="s">
        <v>2</v>
      </c>
      <c r="L2" s="6" t="s">
        <v>3</v>
      </c>
      <c r="M2" s="6" t="s">
        <v>2</v>
      </c>
      <c r="N2" s="6" t="s">
        <v>2</v>
      </c>
      <c r="O2" s="6" t="s">
        <v>3</v>
      </c>
      <c r="P2" s="6" t="s">
        <v>2</v>
      </c>
      <c r="Q2" s="1" t="s">
        <v>3</v>
      </c>
    </row>
    <row r="3" s="1" customFormat="1" spans="1:17">
      <c r="A3" s="1" t="s">
        <v>4</v>
      </c>
      <c r="B3" s="1" t="s">
        <v>5</v>
      </c>
      <c r="C3" s="1" t="s">
        <v>6</v>
      </c>
      <c r="D3" s="6" t="s">
        <v>7</v>
      </c>
      <c r="E3" s="8" t="s">
        <v>8</v>
      </c>
      <c r="F3" s="8" t="s">
        <v>9</v>
      </c>
      <c r="G3" s="7" t="s">
        <v>10</v>
      </c>
      <c r="H3" s="7" t="s">
        <v>11</v>
      </c>
      <c r="I3" s="6" t="s">
        <v>12</v>
      </c>
      <c r="J3" s="22" t="s">
        <v>13</v>
      </c>
      <c r="K3" s="22" t="s">
        <v>14</v>
      </c>
      <c r="L3" s="6" t="s">
        <v>15</v>
      </c>
      <c r="M3" s="8" t="s">
        <v>16</v>
      </c>
      <c r="N3" s="8" t="s">
        <v>17</v>
      </c>
      <c r="O3" s="6" t="s">
        <v>18</v>
      </c>
      <c r="P3" s="6" t="s">
        <v>19</v>
      </c>
      <c r="Q3" s="1" t="s">
        <v>20</v>
      </c>
    </row>
    <row r="4" s="1" customFormat="1" spans="1:17">
      <c r="A4" s="1" t="s">
        <v>21</v>
      </c>
      <c r="B4" s="1" t="s">
        <v>22</v>
      </c>
      <c r="C4" s="1" t="s">
        <v>23</v>
      </c>
      <c r="D4" s="6" t="s">
        <v>24</v>
      </c>
      <c r="E4" s="6" t="s">
        <v>24</v>
      </c>
      <c r="F4" s="6" t="s">
        <v>23</v>
      </c>
      <c r="G4" s="7" t="s">
        <v>25</v>
      </c>
      <c r="H4" s="7" t="s">
        <v>25</v>
      </c>
      <c r="I4" s="6" t="s">
        <v>23</v>
      </c>
      <c r="J4" s="22" t="s">
        <v>26</v>
      </c>
      <c r="K4" s="22" t="s">
        <v>26</v>
      </c>
      <c r="L4" s="6" t="s">
        <v>24</v>
      </c>
      <c r="M4" s="8" t="s">
        <v>24</v>
      </c>
      <c r="N4" s="8" t="s">
        <v>24</v>
      </c>
      <c r="O4" s="6" t="s">
        <v>23</v>
      </c>
      <c r="P4" s="6" t="s">
        <v>27</v>
      </c>
      <c r="Q4" s="1" t="s">
        <v>23</v>
      </c>
    </row>
    <row r="5" s="1" customFormat="1" spans="1:16">
      <c r="A5" s="1" t="s">
        <v>28</v>
      </c>
      <c r="D5" s="6" t="s">
        <v>29</v>
      </c>
      <c r="E5" s="6" t="s">
        <v>30</v>
      </c>
      <c r="F5" s="6"/>
      <c r="G5" s="7" t="s">
        <v>31</v>
      </c>
      <c r="H5" s="7" t="s">
        <v>32</v>
      </c>
      <c r="I5" s="6" t="s">
        <v>33</v>
      </c>
      <c r="J5" s="22" t="s">
        <v>34</v>
      </c>
      <c r="K5" s="22" t="s">
        <v>35</v>
      </c>
      <c r="L5" s="6" t="s">
        <v>36</v>
      </c>
      <c r="M5" s="8" t="s">
        <v>37</v>
      </c>
      <c r="N5" s="8" t="s">
        <v>38</v>
      </c>
      <c r="O5" s="6" t="s">
        <v>39</v>
      </c>
      <c r="P5" s="6" t="s">
        <v>40</v>
      </c>
    </row>
    <row r="6" spans="2:17">
      <c r="B6" s="3">
        <v>1</v>
      </c>
      <c r="C6" s="9" t="s">
        <v>41</v>
      </c>
      <c r="D6" s="4">
        <v>4</v>
      </c>
      <c r="E6" s="4">
        <v>0</v>
      </c>
      <c r="F6" s="5">
        <v>0</v>
      </c>
      <c r="G6" s="10" t="s">
        <v>42</v>
      </c>
      <c r="J6" s="22" t="s">
        <v>43</v>
      </c>
      <c r="K6" s="22">
        <v>10000</v>
      </c>
      <c r="L6" s="5">
        <v>0</v>
      </c>
      <c r="M6" s="23">
        <v>1</v>
      </c>
      <c r="N6" s="23">
        <v>-1</v>
      </c>
      <c r="P6" s="4">
        <v>1</v>
      </c>
      <c r="Q6" s="3" t="s">
        <v>44</v>
      </c>
    </row>
    <row r="7" spans="2:17">
      <c r="B7" s="3">
        <v>2</v>
      </c>
      <c r="C7" s="9" t="s">
        <v>45</v>
      </c>
      <c r="D7" s="5">
        <v>1</v>
      </c>
      <c r="E7" s="5">
        <v>100</v>
      </c>
      <c r="F7" s="4">
        <v>17873100</v>
      </c>
      <c r="G7" s="10" t="s">
        <v>46</v>
      </c>
      <c r="I7" s="4" t="s">
        <v>47</v>
      </c>
      <c r="J7" s="22" t="s">
        <v>48</v>
      </c>
      <c r="K7" s="22" t="s">
        <v>49</v>
      </c>
      <c r="L7" s="5">
        <v>0</v>
      </c>
      <c r="M7" s="23">
        <v>1</v>
      </c>
      <c r="N7" s="23">
        <v>-1</v>
      </c>
      <c r="P7" s="4">
        <v>1</v>
      </c>
      <c r="Q7" s="3" t="s">
        <v>50</v>
      </c>
    </row>
    <row r="8" spans="2:17">
      <c r="B8" s="3">
        <v>3</v>
      </c>
      <c r="C8" s="9" t="s">
        <v>51</v>
      </c>
      <c r="D8" s="4">
        <v>1</v>
      </c>
      <c r="E8" s="11">
        <v>990</v>
      </c>
      <c r="F8" s="12">
        <v>176943700</v>
      </c>
      <c r="G8" s="11" t="s">
        <v>52</v>
      </c>
      <c r="H8" s="11"/>
      <c r="I8" s="24" t="s">
        <v>53</v>
      </c>
      <c r="J8" s="22" t="s">
        <v>48</v>
      </c>
      <c r="K8" s="22">
        <v>300</v>
      </c>
      <c r="L8" s="11">
        <v>0</v>
      </c>
      <c r="M8" s="25">
        <v>-1</v>
      </c>
      <c r="N8" s="25">
        <v>-1</v>
      </c>
      <c r="P8" s="4">
        <v>1</v>
      </c>
      <c r="Q8" s="3" t="s">
        <v>50</v>
      </c>
    </row>
    <row r="9" spans="2:17">
      <c r="B9" s="3">
        <v>4</v>
      </c>
      <c r="C9" s="9" t="s">
        <v>51</v>
      </c>
      <c r="D9" s="4">
        <v>1</v>
      </c>
      <c r="E9" s="11">
        <v>4990</v>
      </c>
      <c r="F9" s="12">
        <v>891867740</v>
      </c>
      <c r="G9" s="11" t="s">
        <v>54</v>
      </c>
      <c r="H9" s="11"/>
      <c r="I9" s="24" t="s">
        <v>55</v>
      </c>
      <c r="J9" s="22" t="s">
        <v>48</v>
      </c>
      <c r="K9" s="22">
        <v>1500</v>
      </c>
      <c r="L9" s="11">
        <v>1</v>
      </c>
      <c r="M9" s="25">
        <v>-1</v>
      </c>
      <c r="N9" s="25">
        <v>-1</v>
      </c>
      <c r="P9" s="4">
        <v>1</v>
      </c>
      <c r="Q9" s="3" t="s">
        <v>50</v>
      </c>
    </row>
    <row r="10" spans="2:17">
      <c r="B10" s="3">
        <v>5</v>
      </c>
      <c r="C10" s="9" t="s">
        <v>51</v>
      </c>
      <c r="D10" s="4">
        <v>1</v>
      </c>
      <c r="E10" s="11">
        <v>13490</v>
      </c>
      <c r="F10" s="12">
        <v>2411081320</v>
      </c>
      <c r="G10" s="11" t="s">
        <v>56</v>
      </c>
      <c r="H10" s="11" t="s">
        <v>57</v>
      </c>
      <c r="I10" s="24" t="s">
        <v>58</v>
      </c>
      <c r="J10" s="22" t="s">
        <v>48</v>
      </c>
      <c r="K10" s="22">
        <v>4050</v>
      </c>
      <c r="L10" s="11">
        <v>1</v>
      </c>
      <c r="M10" s="25">
        <v>-1</v>
      </c>
      <c r="N10" s="25">
        <v>-1</v>
      </c>
      <c r="P10" s="4">
        <v>1</v>
      </c>
      <c r="Q10" s="3" t="s">
        <v>59</v>
      </c>
    </row>
    <row r="11" spans="2:17">
      <c r="B11" s="3">
        <v>6</v>
      </c>
      <c r="C11" s="9" t="s">
        <v>51</v>
      </c>
      <c r="D11" s="4">
        <v>1</v>
      </c>
      <c r="E11" s="11">
        <v>26990</v>
      </c>
      <c r="F11" s="12">
        <v>4823949960</v>
      </c>
      <c r="G11" s="11" t="s">
        <v>60</v>
      </c>
      <c r="H11" s="11" t="s">
        <v>61</v>
      </c>
      <c r="I11" s="24" t="s">
        <v>62</v>
      </c>
      <c r="J11" s="22" t="s">
        <v>48</v>
      </c>
      <c r="K11" s="22">
        <v>8100</v>
      </c>
      <c r="L11" s="11">
        <v>2</v>
      </c>
      <c r="M11" s="25">
        <v>-1</v>
      </c>
      <c r="N11" s="25">
        <v>-1</v>
      </c>
      <c r="P11" s="4">
        <v>1</v>
      </c>
      <c r="Q11" s="3" t="s">
        <v>63</v>
      </c>
    </row>
    <row r="12" spans="2:17">
      <c r="B12" s="3">
        <v>7</v>
      </c>
      <c r="C12" s="9" t="s">
        <v>51</v>
      </c>
      <c r="D12" s="4">
        <v>1</v>
      </c>
      <c r="E12" s="11">
        <v>68990</v>
      </c>
      <c r="F12" s="12">
        <v>12330652380</v>
      </c>
      <c r="G12" s="11" t="s">
        <v>64</v>
      </c>
      <c r="H12" s="11" t="s">
        <v>65</v>
      </c>
      <c r="I12" s="24" t="s">
        <v>66</v>
      </c>
      <c r="J12" s="22" t="s">
        <v>48</v>
      </c>
      <c r="K12" s="22">
        <v>20700</v>
      </c>
      <c r="L12" s="11">
        <v>2</v>
      </c>
      <c r="M12" s="25">
        <v>-1</v>
      </c>
      <c r="N12" s="25">
        <v>-1</v>
      </c>
      <c r="P12" s="4">
        <v>1</v>
      </c>
      <c r="Q12" s="3" t="s">
        <v>63</v>
      </c>
    </row>
    <row r="13" spans="2:17">
      <c r="B13" s="3">
        <v>8</v>
      </c>
      <c r="C13" s="9" t="s">
        <v>51</v>
      </c>
      <c r="D13" s="4">
        <v>1</v>
      </c>
      <c r="E13" s="11">
        <v>129990</v>
      </c>
      <c r="F13" s="12">
        <v>23233243990</v>
      </c>
      <c r="G13" s="11" t="s">
        <v>67</v>
      </c>
      <c r="H13" s="11" t="s">
        <v>68</v>
      </c>
      <c r="I13" s="24" t="s">
        <v>69</v>
      </c>
      <c r="J13" s="22" t="s">
        <v>48</v>
      </c>
      <c r="K13" s="22">
        <v>39000</v>
      </c>
      <c r="L13" s="11">
        <v>3</v>
      </c>
      <c r="M13" s="25">
        <v>-1</v>
      </c>
      <c r="N13" s="25">
        <v>-1</v>
      </c>
      <c r="P13" s="4">
        <v>1</v>
      </c>
      <c r="Q13" s="3" t="s">
        <v>70</v>
      </c>
    </row>
    <row r="14" s="2" customFormat="1" spans="2:17">
      <c r="B14" s="13">
        <v>10</v>
      </c>
      <c r="C14" s="14" t="s">
        <v>51</v>
      </c>
      <c r="D14" s="15">
        <v>1</v>
      </c>
      <c r="E14" s="16">
        <v>499990</v>
      </c>
      <c r="F14" s="16">
        <v>89363717690</v>
      </c>
      <c r="G14" s="16" t="s">
        <v>71</v>
      </c>
      <c r="H14" s="16" t="s">
        <v>72</v>
      </c>
      <c r="I14" s="15" t="s">
        <v>73</v>
      </c>
      <c r="J14" s="15" t="s">
        <v>48</v>
      </c>
      <c r="K14" s="16">
        <v>150000</v>
      </c>
      <c r="L14" s="16">
        <v>3</v>
      </c>
      <c r="M14" s="26">
        <v>-1</v>
      </c>
      <c r="N14" s="26">
        <v>-1</v>
      </c>
      <c r="O14" s="15"/>
      <c r="P14" s="16">
        <v>1</v>
      </c>
      <c r="Q14" s="2" t="s">
        <v>74</v>
      </c>
    </row>
    <row r="15" spans="2:17">
      <c r="B15" s="17">
        <v>11</v>
      </c>
      <c r="C15" s="9" t="s">
        <v>51</v>
      </c>
      <c r="D15" s="4">
        <v>1</v>
      </c>
      <c r="E15" s="11">
        <v>999990</v>
      </c>
      <c r="F15" s="18">
        <v>178729222690</v>
      </c>
      <c r="G15" s="11" t="s">
        <v>75</v>
      </c>
      <c r="H15" s="11" t="s">
        <v>76</v>
      </c>
      <c r="I15" s="24" t="s">
        <v>77</v>
      </c>
      <c r="J15" s="22" t="s">
        <v>48</v>
      </c>
      <c r="K15" s="27">
        <v>300000</v>
      </c>
      <c r="L15" s="11">
        <v>4</v>
      </c>
      <c r="M15" s="25">
        <v>-1</v>
      </c>
      <c r="N15" s="25">
        <v>-1</v>
      </c>
      <c r="P15" s="5">
        <v>1</v>
      </c>
      <c r="Q15" s="3" t="s">
        <v>74</v>
      </c>
    </row>
    <row r="16" ht="21" customHeight="1" spans="2:16">
      <c r="B16" s="19">
        <v>100</v>
      </c>
      <c r="C16" s="3" t="str">
        <f>"超值礼包"&amp;D16&amp;""</f>
        <v>超值礼包3</v>
      </c>
      <c r="D16" s="4">
        <v>3</v>
      </c>
      <c r="E16" s="5">
        <v>990</v>
      </c>
      <c r="F16" s="4">
        <v>176943700</v>
      </c>
      <c r="G16" s="5" t="s">
        <v>78</v>
      </c>
      <c r="J16" s="22" t="s">
        <v>48</v>
      </c>
      <c r="K16" s="27">
        <v>900</v>
      </c>
      <c r="L16" s="5">
        <v>1</v>
      </c>
      <c r="M16" s="23">
        <v>-1</v>
      </c>
      <c r="N16" s="23">
        <v>1</v>
      </c>
      <c r="P16" s="5">
        <v>0</v>
      </c>
    </row>
    <row r="17" spans="2:16">
      <c r="B17" s="19">
        <v>101</v>
      </c>
      <c r="C17" s="3" t="str">
        <f>"超值礼包"&amp;D17&amp;""</f>
        <v>超值礼包3</v>
      </c>
      <c r="D17" s="4">
        <v>3</v>
      </c>
      <c r="E17" s="5">
        <v>4990</v>
      </c>
      <c r="F17" s="4">
        <v>891867740</v>
      </c>
      <c r="G17" s="5" t="s">
        <v>79</v>
      </c>
      <c r="J17" s="22" t="s">
        <v>48</v>
      </c>
      <c r="K17" s="27">
        <v>4500</v>
      </c>
      <c r="L17" s="5">
        <v>2</v>
      </c>
      <c r="M17" s="23">
        <v>-1</v>
      </c>
      <c r="N17" s="23">
        <v>1</v>
      </c>
      <c r="P17" s="5">
        <v>0</v>
      </c>
    </row>
    <row r="18" spans="2:16">
      <c r="B18" s="19">
        <v>200</v>
      </c>
      <c r="C18" s="3" t="s">
        <v>80</v>
      </c>
      <c r="D18" s="5">
        <v>5</v>
      </c>
      <c r="E18" s="5">
        <v>990</v>
      </c>
      <c r="F18" s="4">
        <v>176943700</v>
      </c>
      <c r="G18" s="5" t="s">
        <v>81</v>
      </c>
      <c r="J18" s="22" t="s">
        <v>48</v>
      </c>
      <c r="K18" s="27">
        <v>360</v>
      </c>
      <c r="L18" s="5">
        <v>1</v>
      </c>
      <c r="M18" s="23">
        <v>-1</v>
      </c>
      <c r="N18" s="23">
        <v>-1</v>
      </c>
      <c r="P18" s="5">
        <v>0</v>
      </c>
    </row>
    <row r="19" spans="2:16">
      <c r="B19" s="19">
        <v>201</v>
      </c>
      <c r="C19" s="3" t="s">
        <v>82</v>
      </c>
      <c r="D19" s="5">
        <v>5</v>
      </c>
      <c r="E19" s="5">
        <v>4990</v>
      </c>
      <c r="F19" s="4">
        <v>891867740</v>
      </c>
      <c r="G19" s="5" t="s">
        <v>83</v>
      </c>
      <c r="J19" s="22" t="s">
        <v>84</v>
      </c>
      <c r="K19" s="22" t="s">
        <v>85</v>
      </c>
      <c r="L19" s="5">
        <v>4</v>
      </c>
      <c r="M19" s="23">
        <v>-1</v>
      </c>
      <c r="N19" s="23">
        <v>-1</v>
      </c>
      <c r="P19" s="5">
        <v>0</v>
      </c>
    </row>
    <row r="20" spans="2:16">
      <c r="B20" s="19">
        <v>202</v>
      </c>
      <c r="C20" s="3" t="s">
        <v>86</v>
      </c>
      <c r="D20" s="5">
        <v>5</v>
      </c>
      <c r="E20" s="5">
        <v>68990</v>
      </c>
      <c r="F20" s="4">
        <v>12330652380</v>
      </c>
      <c r="G20" s="5" t="s">
        <v>87</v>
      </c>
      <c r="J20" s="22" t="s">
        <v>84</v>
      </c>
      <c r="K20" s="22" t="s">
        <v>88</v>
      </c>
      <c r="L20" s="5">
        <v>4</v>
      </c>
      <c r="M20" s="23">
        <v>-1</v>
      </c>
      <c r="N20" s="23">
        <v>-1</v>
      </c>
      <c r="P20" s="5">
        <v>0</v>
      </c>
    </row>
    <row r="21" spans="2:16">
      <c r="B21" s="19">
        <v>203</v>
      </c>
      <c r="C21" s="3" t="s">
        <v>89</v>
      </c>
      <c r="D21" s="5">
        <v>5</v>
      </c>
      <c r="E21" s="5">
        <v>129990</v>
      </c>
      <c r="F21" s="5">
        <v>23233243990</v>
      </c>
      <c r="G21" s="5" t="s">
        <v>90</v>
      </c>
      <c r="J21" s="22" t="s">
        <v>48</v>
      </c>
      <c r="K21" s="27">
        <v>46800</v>
      </c>
      <c r="L21" s="5">
        <v>4</v>
      </c>
      <c r="M21" s="23">
        <v>-1</v>
      </c>
      <c r="N21" s="23">
        <v>-1</v>
      </c>
      <c r="P21" s="5">
        <v>0</v>
      </c>
    </row>
    <row r="22" spans="2:16">
      <c r="B22" s="19">
        <v>204</v>
      </c>
      <c r="C22" s="2" t="s">
        <v>91</v>
      </c>
      <c r="D22" s="16">
        <v>5</v>
      </c>
      <c r="E22" s="16">
        <v>10000</v>
      </c>
      <c r="F22" s="15">
        <v>1787310100</v>
      </c>
      <c r="G22" s="16" t="s">
        <v>56</v>
      </c>
      <c r="H22" s="16"/>
      <c r="I22" s="15"/>
      <c r="J22" s="22" t="s">
        <v>48</v>
      </c>
      <c r="K22" s="22">
        <v>4050</v>
      </c>
      <c r="L22" s="16">
        <v>4</v>
      </c>
      <c r="M22" s="26">
        <v>-1</v>
      </c>
      <c r="N22" s="26">
        <v>-1</v>
      </c>
      <c r="P22" s="5">
        <v>0</v>
      </c>
    </row>
    <row r="23" spans="2:16">
      <c r="B23" s="19">
        <v>205</v>
      </c>
      <c r="C23" s="2" t="s">
        <v>92</v>
      </c>
      <c r="D23" s="16">
        <v>5</v>
      </c>
      <c r="E23" s="16">
        <v>400000</v>
      </c>
      <c r="F23" s="16">
        <v>73542932000</v>
      </c>
      <c r="G23" s="16" t="s">
        <v>93</v>
      </c>
      <c r="H23" s="16"/>
      <c r="I23" s="15"/>
      <c r="J23" s="22" t="s">
        <v>84</v>
      </c>
      <c r="K23" s="22" t="s">
        <v>94</v>
      </c>
      <c r="L23" s="16">
        <v>4</v>
      </c>
      <c r="M23" s="26">
        <v>-1</v>
      </c>
      <c r="N23" s="26">
        <v>-1</v>
      </c>
      <c r="P23" s="5">
        <v>0</v>
      </c>
    </row>
    <row r="24" spans="2:16">
      <c r="B24" s="19">
        <v>206</v>
      </c>
      <c r="C24" s="2" t="s">
        <v>95</v>
      </c>
      <c r="D24" s="16">
        <v>5</v>
      </c>
      <c r="E24" s="16">
        <v>100000</v>
      </c>
      <c r="F24" s="16">
        <v>20876827000</v>
      </c>
      <c r="G24" s="16" t="s">
        <v>96</v>
      </c>
      <c r="H24" s="16"/>
      <c r="I24" s="15"/>
      <c r="J24" s="22" t="s">
        <v>84</v>
      </c>
      <c r="K24" s="27" t="s">
        <v>97</v>
      </c>
      <c r="L24" s="16">
        <v>4</v>
      </c>
      <c r="M24" s="26">
        <v>-1</v>
      </c>
      <c r="N24" s="26">
        <v>-1</v>
      </c>
      <c r="P24" s="5">
        <v>0</v>
      </c>
    </row>
    <row r="25" spans="2:16">
      <c r="B25" s="19">
        <v>207</v>
      </c>
      <c r="C25" s="2" t="s">
        <v>98</v>
      </c>
      <c r="D25" s="16">
        <v>5</v>
      </c>
      <c r="E25" s="16">
        <v>200000</v>
      </c>
      <c r="F25" s="16">
        <f t="shared" ref="F25:F27" si="0">F24*2</f>
        <v>41753654000</v>
      </c>
      <c r="G25" s="16" t="s">
        <v>99</v>
      </c>
      <c r="H25" s="16"/>
      <c r="I25" s="15"/>
      <c r="J25" s="22" t="s">
        <v>48</v>
      </c>
      <c r="K25" s="27">
        <v>85000</v>
      </c>
      <c r="L25" s="16">
        <v>4</v>
      </c>
      <c r="M25" s="26">
        <v>-1</v>
      </c>
      <c r="N25" s="26">
        <v>-1</v>
      </c>
      <c r="P25" s="5">
        <v>0</v>
      </c>
    </row>
    <row r="26" spans="2:16">
      <c r="B26" s="19">
        <v>208</v>
      </c>
      <c r="C26" s="2" t="s">
        <v>100</v>
      </c>
      <c r="D26" s="16">
        <v>5</v>
      </c>
      <c r="E26" s="16">
        <v>500000</v>
      </c>
      <c r="F26" s="20">
        <f>F24*5</f>
        <v>104384135000</v>
      </c>
      <c r="G26" s="16" t="s">
        <v>101</v>
      </c>
      <c r="H26" s="16"/>
      <c r="I26" s="15"/>
      <c r="J26" s="22" t="s">
        <v>84</v>
      </c>
      <c r="K26" s="22" t="s">
        <v>102</v>
      </c>
      <c r="L26" s="16">
        <v>4</v>
      </c>
      <c r="M26" s="26">
        <v>-1</v>
      </c>
      <c r="N26" s="26">
        <v>-1</v>
      </c>
      <c r="P26" s="5">
        <v>0</v>
      </c>
    </row>
    <row r="27" spans="2:16">
      <c r="B27" s="19">
        <v>209</v>
      </c>
      <c r="C27" s="2" t="s">
        <v>103</v>
      </c>
      <c r="D27" s="16">
        <v>5</v>
      </c>
      <c r="E27" s="16">
        <v>1000000</v>
      </c>
      <c r="F27" s="20">
        <f>F24*10</f>
        <v>208768270000</v>
      </c>
      <c r="G27" s="16" t="s">
        <v>104</v>
      </c>
      <c r="H27" s="16"/>
      <c r="I27" s="15"/>
      <c r="J27" s="22" t="s">
        <v>48</v>
      </c>
      <c r="K27" s="27">
        <v>500000</v>
      </c>
      <c r="L27" s="16">
        <v>4</v>
      </c>
      <c r="M27" s="26">
        <v>-1</v>
      </c>
      <c r="N27" s="26">
        <v>-1</v>
      </c>
      <c r="P27" s="5">
        <v>0</v>
      </c>
    </row>
    <row r="28" spans="11:12">
      <c r="K28" s="5"/>
      <c r="L28" s="5"/>
    </row>
    <row r="29" spans="10:11">
      <c r="J29" s="5"/>
      <c r="K29" s="5"/>
    </row>
    <row r="35" ht="14.25" spans="8:10">
      <c r="H35" s="21"/>
      <c r="I35" s="28"/>
      <c r="J35" s="28"/>
    </row>
  </sheetData>
  <pageMargins left="0.699305555555556" right="0.699305555555556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WPS_1725847827</cp:lastModifiedBy>
  <dcterms:created xsi:type="dcterms:W3CDTF">2006-09-16T08:00:00Z</dcterms:created>
  <dcterms:modified xsi:type="dcterms:W3CDTF">2025-04-07T08:12:00Z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2052-12.1.0.20784</vt:lpwstr>
  </property>
</Properties>
</file>